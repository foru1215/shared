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2\Desktop\ベース\"/>
    </mc:Choice>
  </mc:AlternateContent>
  <xr:revisionPtr revIDLastSave="0" documentId="13_ncr:1_{D87EBC36-68C0-4BE3-9963-CC8A05A40BCD}" xr6:coauthVersionLast="47" xr6:coauthVersionMax="47" xr10:uidLastSave="{00000000-0000-0000-0000-000000000000}"/>
  <bookViews>
    <workbookView xWindow="-120" yWindow="-120" windowWidth="29040" windowHeight="17640" activeTab="1" xr2:uid="{4F2F9399-AD06-442E-9A21-C2CBBE07EA3D}"/>
  </bookViews>
  <sheets>
    <sheet name="Sheet1" sheetId="1" r:id="rId1"/>
    <sheet name="Sheet2" sheetId="2" r:id="rId2"/>
  </sheets>
  <definedNames>
    <definedName name="_xlnm.Print_Area" localSheetId="0">Sheet1!$A$1:$O$150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0" i="1" l="1"/>
  <c r="G40" i="1"/>
  <c r="O17" i="1"/>
  <c r="G17" i="1"/>
  <c r="D146" i="1"/>
  <c r="G14" i="1"/>
  <c r="D147" i="1" l="1"/>
  <c r="I12" i="1"/>
  <c r="A35" i="1"/>
  <c r="I35" i="1"/>
  <c r="A58" i="1"/>
  <c r="I58" i="1"/>
  <c r="G20" i="1" l="1"/>
  <c r="O20" i="1"/>
  <c r="D94" i="1"/>
  <c r="D95" i="1"/>
  <c r="D96" i="1"/>
  <c r="D143" i="1"/>
  <c r="D144" i="1"/>
  <c r="D145" i="1"/>
  <c r="D148" i="1"/>
  <c r="G72" i="1"/>
  <c r="G71" i="1"/>
  <c r="O74" i="1"/>
  <c r="O72" i="1"/>
  <c r="O71" i="1"/>
  <c r="O73" i="1"/>
  <c r="O70" i="1"/>
  <c r="G70" i="1"/>
  <c r="G74" i="1"/>
  <c r="G73" i="1"/>
  <c r="O49" i="1"/>
  <c r="O48" i="1"/>
  <c r="O47" i="1"/>
  <c r="O51" i="1"/>
  <c r="O50" i="1"/>
  <c r="G49" i="1"/>
  <c r="G50" i="1"/>
  <c r="G51" i="1"/>
  <c r="G47" i="1"/>
  <c r="O26" i="1"/>
  <c r="O27" i="1"/>
  <c r="O28" i="1"/>
  <c r="G26" i="1"/>
  <c r="G27" i="1"/>
  <c r="G28" i="1"/>
  <c r="G29" i="1"/>
  <c r="N95" i="1"/>
  <c r="N96" i="1"/>
  <c r="N94" i="1"/>
  <c r="N93" i="1"/>
  <c r="I93" i="1"/>
  <c r="I94" i="1"/>
  <c r="O37" i="1"/>
  <c r="G37" i="1"/>
  <c r="O46" i="1"/>
  <c r="F6" i="1" s="1"/>
  <c r="G46" i="1"/>
  <c r="F5" i="1" s="1"/>
  <c r="O23" i="1"/>
  <c r="F4" i="1" s="1"/>
  <c r="G23" i="1"/>
  <c r="F3" i="1" s="1"/>
  <c r="G22" i="1"/>
  <c r="O68" i="1"/>
  <c r="G68" i="1"/>
  <c r="O38" i="1"/>
  <c r="G45" i="1"/>
  <c r="O22" i="1"/>
  <c r="O45" i="1"/>
  <c r="G48" i="1"/>
  <c r="O25" i="1"/>
  <c r="O24" i="1"/>
  <c r="G25" i="1"/>
  <c r="G24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0" i="1"/>
  <c r="D119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2" i="1"/>
  <c r="N91" i="1"/>
  <c r="N90" i="1"/>
  <c r="N89" i="1"/>
  <c r="N87" i="1"/>
  <c r="N86" i="1"/>
  <c r="N85" i="1"/>
  <c r="N84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2" i="1"/>
  <c r="I91" i="1"/>
  <c r="I90" i="1"/>
  <c r="I89" i="1"/>
  <c r="I88" i="1"/>
  <c r="I87" i="1"/>
  <c r="I86" i="1"/>
  <c r="I85" i="1"/>
  <c r="I83" i="1"/>
  <c r="D85" i="1"/>
  <c r="D86" i="1"/>
  <c r="D87" i="1"/>
  <c r="D88" i="1"/>
  <c r="D89" i="1"/>
  <c r="D90" i="1"/>
  <c r="D91" i="1"/>
  <c r="D92" i="1"/>
  <c r="D93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84" i="1"/>
  <c r="D83" i="1"/>
  <c r="O76" i="1"/>
  <c r="O75" i="1"/>
  <c r="O69" i="1"/>
  <c r="F8" i="1" s="1"/>
  <c r="O67" i="1"/>
  <c r="O66" i="1"/>
  <c r="O65" i="1"/>
  <c r="O64" i="1"/>
  <c r="D8" i="1" s="1"/>
  <c r="O63" i="1"/>
  <c r="O62" i="1"/>
  <c r="O61" i="1"/>
  <c r="O60" i="1"/>
  <c r="G76" i="1"/>
  <c r="G75" i="1"/>
  <c r="G69" i="1"/>
  <c r="F7" i="1" s="1"/>
  <c r="G67" i="1"/>
  <c r="G66" i="1"/>
  <c r="G65" i="1"/>
  <c r="G64" i="1"/>
  <c r="D7" i="1" s="1"/>
  <c r="G63" i="1"/>
  <c r="G62" i="1"/>
  <c r="G61" i="1"/>
  <c r="G60" i="1"/>
  <c r="O53" i="1"/>
  <c r="O52" i="1"/>
  <c r="O44" i="1"/>
  <c r="O43" i="1"/>
  <c r="O42" i="1"/>
  <c r="O41" i="1"/>
  <c r="D6" i="1" s="1"/>
  <c r="O39" i="1"/>
  <c r="G53" i="1"/>
  <c r="G52" i="1"/>
  <c r="G44" i="1"/>
  <c r="G43" i="1"/>
  <c r="G42" i="1"/>
  <c r="G41" i="1"/>
  <c r="D5" i="1" s="1"/>
  <c r="G39" i="1"/>
  <c r="G38" i="1"/>
  <c r="O30" i="1"/>
  <c r="O29" i="1"/>
  <c r="O15" i="1"/>
  <c r="O16" i="1"/>
  <c r="O19" i="1"/>
  <c r="O21" i="1"/>
  <c r="G30" i="1"/>
  <c r="G21" i="1"/>
  <c r="G15" i="1"/>
  <c r="G16" i="1"/>
  <c r="G18" i="1"/>
  <c r="D3" i="1" s="1"/>
  <c r="G19" i="1"/>
  <c r="H6" i="1" l="1"/>
  <c r="H4" i="1"/>
  <c r="H5" i="1"/>
  <c r="H7" i="1"/>
  <c r="E6" i="1"/>
  <c r="E8" i="1"/>
  <c r="G5" i="1"/>
  <c r="H8" i="1"/>
  <c r="D149" i="1"/>
  <c r="J6" i="1" s="1"/>
  <c r="E7" i="1"/>
  <c r="H3" i="1"/>
  <c r="N149" i="1"/>
  <c r="J8" i="1" s="1"/>
  <c r="I149" i="1"/>
  <c r="J7" i="1" s="1"/>
  <c r="G3" i="1"/>
  <c r="D113" i="1"/>
  <c r="J3" i="1" s="1"/>
  <c r="E3" i="1"/>
  <c r="C7" i="1"/>
  <c r="C8" i="1"/>
  <c r="C6" i="1"/>
  <c r="G8" i="1"/>
  <c r="C3" i="1"/>
  <c r="G6" i="1"/>
  <c r="G7" i="1"/>
  <c r="G4" i="1"/>
  <c r="C5" i="1"/>
  <c r="E4" i="1"/>
  <c r="E5" i="1"/>
  <c r="N88" i="1"/>
  <c r="K117" i="1"/>
  <c r="F117" i="1"/>
  <c r="K81" i="1"/>
  <c r="F81" i="1"/>
  <c r="A117" i="1"/>
  <c r="O14" i="1"/>
  <c r="I8" i="1" l="1"/>
  <c r="K8" i="1" s="1"/>
  <c r="I3" i="1"/>
  <c r="K3" i="1" s="1"/>
  <c r="O77" i="1"/>
  <c r="I7" i="1"/>
  <c r="K7" i="1" s="1"/>
  <c r="G77" i="1"/>
  <c r="G31" i="1"/>
  <c r="I6" i="1"/>
  <c r="K6" i="1" s="1"/>
  <c r="O54" i="1"/>
  <c r="I5" i="1"/>
  <c r="G54" i="1"/>
  <c r="C4" i="1"/>
  <c r="N83" i="1"/>
  <c r="N113" i="1" s="1"/>
  <c r="J5" i="1" s="1"/>
  <c r="I84" i="1"/>
  <c r="I113" i="1" s="1"/>
  <c r="J4" i="1" s="1"/>
  <c r="O18" i="1"/>
  <c r="D4" i="1" s="1"/>
  <c r="I4" i="1" l="1"/>
  <c r="K4" i="1" s="1"/>
  <c r="K5" i="1"/>
  <c r="O31" i="1"/>
  <c r="A81" i="1"/>
  <c r="A12" i="1"/>
</calcChain>
</file>

<file path=xl/sharedStrings.xml><?xml version="1.0" encoding="utf-8"?>
<sst xmlns="http://schemas.openxmlformats.org/spreadsheetml/2006/main" count="208" uniqueCount="53">
  <si>
    <t>箱</t>
    <rPh sb="0" eb="1">
      <t>ハコ</t>
    </rPh>
    <phoneticPr fontId="1"/>
  </si>
  <si>
    <t>扉</t>
    <rPh sb="0" eb="1">
      <t>トビラ</t>
    </rPh>
    <phoneticPr fontId="1"/>
  </si>
  <si>
    <t>屋根</t>
    <rPh sb="0" eb="2">
      <t>ヤネ</t>
    </rPh>
    <phoneticPr fontId="1"/>
  </si>
  <si>
    <t>柱</t>
    <rPh sb="0" eb="1">
      <t>ハシラ</t>
    </rPh>
    <phoneticPr fontId="1"/>
  </si>
  <si>
    <t>器具板</t>
    <rPh sb="0" eb="3">
      <t>キグイタ</t>
    </rPh>
    <phoneticPr fontId="1"/>
  </si>
  <si>
    <t>ベース</t>
    <phoneticPr fontId="1"/>
  </si>
  <si>
    <t>数</t>
    <rPh sb="0" eb="1">
      <t>カズ</t>
    </rPh>
    <phoneticPr fontId="1"/>
  </si>
  <si>
    <t>箱(側面)</t>
    <rPh sb="0" eb="1">
      <t>ハコ</t>
    </rPh>
    <rPh sb="2" eb="4">
      <t>ソクメン</t>
    </rPh>
    <phoneticPr fontId="1"/>
  </si>
  <si>
    <t>ベース(側面)</t>
    <rPh sb="4" eb="6">
      <t>ソクメン</t>
    </rPh>
    <phoneticPr fontId="1"/>
  </si>
  <si>
    <t>屋根(側面)</t>
    <rPh sb="0" eb="2">
      <t>ヤネ</t>
    </rPh>
    <rPh sb="3" eb="5">
      <t>ソクメン</t>
    </rPh>
    <phoneticPr fontId="1"/>
  </si>
  <si>
    <t>全体合計(kg)</t>
    <rPh sb="0" eb="4">
      <t>ゼンタイゴウケイ</t>
    </rPh>
    <phoneticPr fontId="1"/>
  </si>
  <si>
    <t>合計(kg)</t>
    <rPh sb="0" eb="2">
      <t>ゴウケイ</t>
    </rPh>
    <phoneticPr fontId="1"/>
  </si>
  <si>
    <t>部品(kg)</t>
    <rPh sb="0" eb="2">
      <t>ブヒン</t>
    </rPh>
    <phoneticPr fontId="1"/>
  </si>
  <si>
    <t>X(mm)</t>
    <phoneticPr fontId="1"/>
  </si>
  <si>
    <t>Y(mm)</t>
    <phoneticPr fontId="1"/>
  </si>
  <si>
    <t>重量(kg/m^2)</t>
    <rPh sb="0" eb="2">
      <t>ジュウリョウ</t>
    </rPh>
    <phoneticPr fontId="1"/>
  </si>
  <si>
    <t>記号</t>
    <rPh sb="0" eb="2">
      <t>キゴウ</t>
    </rPh>
    <phoneticPr fontId="1"/>
  </si>
  <si>
    <t>数量</t>
    <rPh sb="0" eb="2">
      <t>スウリョウ</t>
    </rPh>
    <phoneticPr fontId="1"/>
  </si>
  <si>
    <t>箱(底面)</t>
    <rPh sb="0" eb="1">
      <t>ハコ</t>
    </rPh>
    <rPh sb="2" eb="4">
      <t>テイメン</t>
    </rPh>
    <phoneticPr fontId="1"/>
  </si>
  <si>
    <t>箱(天井)</t>
    <rPh sb="0" eb="1">
      <t>ハコ</t>
    </rPh>
    <rPh sb="2" eb="4">
      <t>テンジョウ</t>
    </rPh>
    <phoneticPr fontId="1"/>
  </si>
  <si>
    <t>重量(kg)</t>
    <rPh sb="0" eb="2">
      <t>ジュウリョウ</t>
    </rPh>
    <phoneticPr fontId="1"/>
  </si>
  <si>
    <t>屋根(上部)</t>
    <rPh sb="0" eb="2">
      <t>ヤネ</t>
    </rPh>
    <rPh sb="3" eb="5">
      <t>ジョウブ</t>
    </rPh>
    <phoneticPr fontId="1"/>
  </si>
  <si>
    <t>ベース(正面,背面)</t>
    <rPh sb="4" eb="6">
      <t>ショウメン</t>
    </rPh>
    <rPh sb="7" eb="9">
      <t>ハイメン</t>
    </rPh>
    <phoneticPr fontId="1"/>
  </si>
  <si>
    <t>Z(mm)</t>
    <phoneticPr fontId="1"/>
  </si>
  <si>
    <t>屋根(底面)</t>
    <rPh sb="0" eb="2">
      <t>ヤネ</t>
    </rPh>
    <rPh sb="3" eb="5">
      <t>テイメン</t>
    </rPh>
    <phoneticPr fontId="1"/>
  </si>
  <si>
    <t>器具板1</t>
    <rPh sb="0" eb="3">
      <t>キグイタ</t>
    </rPh>
    <phoneticPr fontId="1"/>
  </si>
  <si>
    <t>器具板2</t>
    <rPh sb="0" eb="3">
      <t>キグイタ</t>
    </rPh>
    <phoneticPr fontId="1"/>
  </si>
  <si>
    <t>器具板3</t>
    <rPh sb="0" eb="3">
      <t>キグイタ</t>
    </rPh>
    <phoneticPr fontId="1"/>
  </si>
  <si>
    <t>器具板4</t>
    <rPh sb="0" eb="3">
      <t>キグイタ</t>
    </rPh>
    <phoneticPr fontId="1"/>
  </si>
  <si>
    <t>器具板5</t>
    <rPh sb="0" eb="3">
      <t>キグイタ</t>
    </rPh>
    <phoneticPr fontId="1"/>
  </si>
  <si>
    <t>箱(正面,背面)</t>
    <rPh sb="0" eb="1">
      <t>ハコ</t>
    </rPh>
    <rPh sb="2" eb="4">
      <t>ショウメン</t>
    </rPh>
    <rPh sb="5" eb="7">
      <t>ハイメン</t>
    </rPh>
    <phoneticPr fontId="1"/>
  </si>
  <si>
    <t>屋根(正面,背面)</t>
    <rPh sb="0" eb="2">
      <t>ヤネ</t>
    </rPh>
    <rPh sb="3" eb="4">
      <t>セイ</t>
    </rPh>
    <rPh sb="6" eb="8">
      <t>ハイメン</t>
    </rPh>
    <phoneticPr fontId="1"/>
  </si>
  <si>
    <t>盤名称</t>
    <rPh sb="0" eb="1">
      <t>バン</t>
    </rPh>
    <rPh sb="1" eb="3">
      <t>メイショウ</t>
    </rPh>
    <phoneticPr fontId="1"/>
  </si>
  <si>
    <t>鋼板</t>
    <rPh sb="0" eb="2">
      <t>コウバン</t>
    </rPh>
    <phoneticPr fontId="1"/>
  </si>
  <si>
    <t>t1.2</t>
    <phoneticPr fontId="1"/>
  </si>
  <si>
    <t>t1.6</t>
    <phoneticPr fontId="1"/>
  </si>
  <si>
    <t>t2.3</t>
    <phoneticPr fontId="1"/>
  </si>
  <si>
    <t>t3.2</t>
    <phoneticPr fontId="1"/>
  </si>
  <si>
    <t>t6.0</t>
    <phoneticPr fontId="1"/>
  </si>
  <si>
    <t>SUS</t>
    <phoneticPr fontId="1"/>
  </si>
  <si>
    <t>t1.5</t>
    <phoneticPr fontId="1"/>
  </si>
  <si>
    <t>t2.0</t>
    <phoneticPr fontId="1"/>
  </si>
  <si>
    <t>C</t>
    <phoneticPr fontId="1"/>
  </si>
  <si>
    <t>t5x50x100</t>
    <phoneticPr fontId="1"/>
  </si>
  <si>
    <t>重量(kg/m)</t>
    <rPh sb="0" eb="2">
      <t>ジュウリョウ</t>
    </rPh>
    <phoneticPr fontId="1"/>
  </si>
  <si>
    <t>L</t>
    <phoneticPr fontId="1"/>
  </si>
  <si>
    <t>6x50</t>
    <phoneticPr fontId="1"/>
  </si>
  <si>
    <t>5x40</t>
    <phoneticPr fontId="1"/>
  </si>
  <si>
    <t>スタンド用角パイプ</t>
    <rPh sb="4" eb="6">
      <t>ヨウカク</t>
    </rPh>
    <phoneticPr fontId="1"/>
  </si>
  <si>
    <t>200x150x4.5</t>
    <phoneticPr fontId="1"/>
  </si>
  <si>
    <t>FB</t>
    <phoneticPr fontId="1"/>
  </si>
  <si>
    <t>6x38</t>
    <phoneticPr fontId="1"/>
  </si>
  <si>
    <t>6x75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</si>
</sst>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9" xfId="0" applyBorder="1">
      <alignment vertical="center"/>
    </xf>
    <xf numFmtId="176" fontId="0" fillId="0" borderId="22" xfId="0" applyNumberFormat="1" applyBorder="1">
      <alignment vertical="center"/>
    </xf>
    <xf numFmtId="0" fontId="0" fillId="0" borderId="40" xfId="0" applyBorder="1">
      <alignment vertical="center"/>
    </xf>
    <xf numFmtId="0" fontId="0" fillId="0" borderId="2" xfId="0" applyBorder="1" applyAlignment="1">
      <alignment horizontal="right" vertical="center"/>
    </xf>
    <xf numFmtId="2" fontId="0" fillId="0" borderId="12" xfId="0" applyNumberFormat="1" applyBorder="1">
      <alignment vertical="center"/>
    </xf>
    <xf numFmtId="2" fontId="0" fillId="0" borderId="1" xfId="0" applyNumberFormat="1" applyBorder="1">
      <alignment vertical="center"/>
    </xf>
    <xf numFmtId="2" fontId="0" fillId="0" borderId="2" xfId="0" applyNumberFormat="1" applyBorder="1">
      <alignment vertical="center"/>
    </xf>
    <xf numFmtId="2" fontId="0" fillId="0" borderId="15" xfId="0" applyNumberFormat="1" applyBorder="1">
      <alignment vertical="center"/>
    </xf>
    <xf numFmtId="2" fontId="0" fillId="0" borderId="14" xfId="0" applyNumberFormat="1" applyBorder="1">
      <alignment vertical="center"/>
    </xf>
    <xf numFmtId="2" fontId="0" fillId="0" borderId="10" xfId="0" applyNumberFormat="1" applyBorder="1">
      <alignment vertical="center"/>
    </xf>
    <xf numFmtId="2" fontId="0" fillId="0" borderId="9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Border="1">
      <alignment vertical="center"/>
    </xf>
    <xf numFmtId="0" fontId="0" fillId="0" borderId="41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2" fontId="0" fillId="0" borderId="23" xfId="0" applyNumberFormat="1" applyBorder="1">
      <alignment vertical="center"/>
    </xf>
    <xf numFmtId="2" fontId="0" fillId="0" borderId="8" xfId="0" applyNumberFormat="1" applyBorder="1">
      <alignment vertical="center"/>
    </xf>
    <xf numFmtId="2" fontId="0" fillId="0" borderId="16" xfId="0" applyNumberFormat="1" applyBorder="1">
      <alignment vertical="center"/>
    </xf>
    <xf numFmtId="2" fontId="0" fillId="0" borderId="34" xfId="0" applyNumberFormat="1" applyBorder="1">
      <alignment vertical="center"/>
    </xf>
    <xf numFmtId="2" fontId="0" fillId="0" borderId="27" xfId="0" applyNumberFormat="1" applyBorder="1">
      <alignment vertical="center"/>
    </xf>
    <xf numFmtId="2" fontId="0" fillId="0" borderId="37" xfId="0" applyNumberFormat="1" applyBorder="1">
      <alignment vertical="center"/>
    </xf>
    <xf numFmtId="2" fontId="0" fillId="0" borderId="18" xfId="0" applyNumberFormat="1" applyBorder="1">
      <alignment vertical="center"/>
    </xf>
    <xf numFmtId="2" fontId="0" fillId="0" borderId="0" xfId="0" applyNumberFormat="1" applyBorder="1">
      <alignment vertical="center"/>
    </xf>
    <xf numFmtId="2" fontId="0" fillId="0" borderId="11" xfId="0" applyNumberFormat="1" applyBorder="1">
      <alignment vertical="center"/>
    </xf>
    <xf numFmtId="2" fontId="0" fillId="0" borderId="29" xfId="0" applyNumberFormat="1" applyBorder="1">
      <alignment vertical="center"/>
    </xf>
    <xf numFmtId="2" fontId="0" fillId="0" borderId="22" xfId="0" applyNumberFormat="1" applyBorder="1">
      <alignment vertical="center"/>
    </xf>
    <xf numFmtId="2" fontId="0" fillId="0" borderId="3" xfId="0" applyNumberFormat="1" applyBorder="1">
      <alignment vertical="center"/>
    </xf>
    <xf numFmtId="2" fontId="0" fillId="0" borderId="36" xfId="0" applyNumberFormat="1" applyBorder="1">
      <alignment vertical="center"/>
    </xf>
    <xf numFmtId="2" fontId="0" fillId="0" borderId="35" xfId="0" applyNumberFormat="1" applyBorder="1">
      <alignment vertical="center"/>
    </xf>
    <xf numFmtId="2" fontId="0" fillId="0" borderId="31" xfId="0" applyNumberFormat="1" applyBorder="1">
      <alignment vertical="center"/>
    </xf>
    <xf numFmtId="2" fontId="0" fillId="0" borderId="24" xfId="0" applyNumberFormat="1" applyBorder="1">
      <alignment vertical="center"/>
    </xf>
    <xf numFmtId="2" fontId="0" fillId="0" borderId="38" xfId="0" applyNumberForma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14" xfId="0" applyBorder="1">
      <alignment vertical="center"/>
    </xf>
    <xf numFmtId="0" fontId="0" fillId="0" borderId="2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4ED2-F4B3-400D-87D6-42D80335DA71}">
  <dimension ref="A1:O154"/>
  <sheetViews>
    <sheetView view="pageBreakPreview" zoomScale="80" zoomScaleNormal="100" zoomScaleSheetLayoutView="80" workbookViewId="0">
      <selection activeCell="A117" sqref="A117:D117"/>
    </sheetView>
  </sheetViews>
  <sheetFormatPr defaultRowHeight="18.75" x14ac:dyDescent="0.4"/>
  <cols>
    <col min="1" max="1" width="15.375" bestFit="1" customWidth="1"/>
    <col min="2" max="26" width="15.625" customWidth="1"/>
  </cols>
  <sheetData>
    <row r="1" spans="1:15" ht="19.5" thickBot="1" x14ac:dyDescent="0.45"/>
    <row r="2" spans="1:15" ht="20.100000000000001" customHeight="1" thickBot="1" x14ac:dyDescent="0.45">
      <c r="B2" s="20" t="s">
        <v>32</v>
      </c>
      <c r="C2" s="20" t="s">
        <v>0</v>
      </c>
      <c r="D2" s="20" t="s">
        <v>1</v>
      </c>
      <c r="E2" s="20" t="s">
        <v>2</v>
      </c>
      <c r="F2" s="28" t="s">
        <v>3</v>
      </c>
      <c r="G2" s="20" t="s">
        <v>4</v>
      </c>
      <c r="H2" s="24" t="s">
        <v>5</v>
      </c>
      <c r="I2" s="20" t="s">
        <v>11</v>
      </c>
      <c r="J2" s="24" t="s">
        <v>12</v>
      </c>
      <c r="K2" s="8" t="s">
        <v>10</v>
      </c>
    </row>
    <row r="3" spans="1:15" ht="20.100000000000001" customHeight="1" x14ac:dyDescent="0.4">
      <c r="B3" s="12"/>
      <c r="C3" s="41">
        <f>SUM(G14:G17)</f>
        <v>0</v>
      </c>
      <c r="D3" s="41">
        <f>G18</f>
        <v>0</v>
      </c>
      <c r="E3" s="47">
        <f>SUM(G19:G22)</f>
        <v>0</v>
      </c>
      <c r="F3" s="57">
        <f>G23</f>
        <v>0</v>
      </c>
      <c r="G3" s="47">
        <f>SUM(G24:G28)</f>
        <v>0</v>
      </c>
      <c r="H3" s="70">
        <f>SUM(G29:G30)</f>
        <v>0</v>
      </c>
      <c r="I3" s="42">
        <f>SUM(C3:H3)</f>
        <v>0</v>
      </c>
      <c r="J3" s="59">
        <f>D113</f>
        <v>0</v>
      </c>
      <c r="K3" s="41">
        <f t="shared" ref="K3:K7" si="0">SUM(I3:J3)</f>
        <v>0</v>
      </c>
    </row>
    <row r="4" spans="1:15" ht="20.100000000000001" customHeight="1" x14ac:dyDescent="0.4">
      <c r="B4" s="7"/>
      <c r="C4" s="43">
        <f>SUM(O14:O17)</f>
        <v>0</v>
      </c>
      <c r="D4" s="43">
        <f>O18</f>
        <v>0</v>
      </c>
      <c r="E4" s="43">
        <f>SUM(O19:O22)</f>
        <v>0</v>
      </c>
      <c r="F4" s="56">
        <f>O23</f>
        <v>0</v>
      </c>
      <c r="G4" s="43">
        <f>SUM(O24:O28)</f>
        <v>0</v>
      </c>
      <c r="H4" s="44">
        <f>SUM(O29:O30)</f>
        <v>0</v>
      </c>
      <c r="I4" s="43">
        <f t="shared" ref="I4:I7" si="1">SUM(C4:H4)</f>
        <v>0</v>
      </c>
      <c r="J4" s="44">
        <f>I113</f>
        <v>0</v>
      </c>
      <c r="K4" s="42">
        <f t="shared" si="0"/>
        <v>0</v>
      </c>
    </row>
    <row r="5" spans="1:15" ht="20.100000000000001" customHeight="1" x14ac:dyDescent="0.4">
      <c r="B5" s="5"/>
      <c r="C5" s="43">
        <f>SUM(G37:G40)</f>
        <v>0</v>
      </c>
      <c r="D5" s="43">
        <f>G41</f>
        <v>0</v>
      </c>
      <c r="E5" s="43">
        <f>SUM(G42:G45)</f>
        <v>0</v>
      </c>
      <c r="F5" s="56">
        <f>G46</f>
        <v>0</v>
      </c>
      <c r="G5" s="43">
        <f>SUM(G47:G51)</f>
        <v>0</v>
      </c>
      <c r="H5" s="44">
        <f>SUM(G52:G53)</f>
        <v>0</v>
      </c>
      <c r="I5" s="43">
        <f t="shared" si="1"/>
        <v>0</v>
      </c>
      <c r="J5" s="44">
        <f>N113</f>
        <v>0</v>
      </c>
      <c r="K5" s="43">
        <f t="shared" si="0"/>
        <v>0</v>
      </c>
    </row>
    <row r="6" spans="1:15" ht="20.100000000000001" customHeight="1" x14ac:dyDescent="0.4">
      <c r="B6" s="5"/>
      <c r="C6" s="42">
        <f>SUM(O37:O40)</f>
        <v>0</v>
      </c>
      <c r="D6" s="42">
        <f>O41</f>
        <v>0</v>
      </c>
      <c r="E6" s="46">
        <f>SUM(O42:O45)</f>
        <v>0</v>
      </c>
      <c r="F6" s="58">
        <f>O46</f>
        <v>0</v>
      </c>
      <c r="G6" s="43">
        <f>SUM(O47:O51)</f>
        <v>0</v>
      </c>
      <c r="H6" s="45">
        <f>SUM(O52:O53)</f>
        <v>0</v>
      </c>
      <c r="I6" s="43">
        <f t="shared" si="1"/>
        <v>0</v>
      </c>
      <c r="J6" s="44">
        <f>D149</f>
        <v>0</v>
      </c>
      <c r="K6" s="43">
        <f>SUM(I6:J6)</f>
        <v>0</v>
      </c>
    </row>
    <row r="7" spans="1:15" ht="20.100000000000001" customHeight="1" x14ac:dyDescent="0.4">
      <c r="B7" s="5"/>
      <c r="C7" s="43">
        <f>SUM(G60:G63)</f>
        <v>0</v>
      </c>
      <c r="D7" s="43">
        <f>G64</f>
        <v>0</v>
      </c>
      <c r="E7" s="43">
        <f>SUM(G65:G68)</f>
        <v>0</v>
      </c>
      <c r="F7" s="56">
        <f>G69</f>
        <v>0</v>
      </c>
      <c r="G7" s="43">
        <f>SUM(G70:G74)</f>
        <v>0</v>
      </c>
      <c r="H7" s="44">
        <f>SUM(G75:G76)</f>
        <v>0</v>
      </c>
      <c r="I7" s="43">
        <f t="shared" si="1"/>
        <v>0</v>
      </c>
      <c r="J7" s="44">
        <f>I149</f>
        <v>0</v>
      </c>
      <c r="K7" s="43">
        <f t="shared" si="0"/>
        <v>0</v>
      </c>
    </row>
    <row r="8" spans="1:15" ht="20.100000000000001" customHeight="1" thickBot="1" x14ac:dyDescent="0.45">
      <c r="B8" s="6"/>
      <c r="C8" s="65">
        <f>SUM(O60:O63)</f>
        <v>0</v>
      </c>
      <c r="D8" s="65">
        <f>O64</f>
        <v>0</v>
      </c>
      <c r="E8" s="65">
        <f>SUM(O65:O68)</f>
        <v>0</v>
      </c>
      <c r="F8" s="66">
        <f>O69</f>
        <v>0</v>
      </c>
      <c r="G8" s="65">
        <f>SUM(O70:O74)</f>
        <v>0</v>
      </c>
      <c r="H8" s="69">
        <f>SUM(O75:O76)</f>
        <v>0</v>
      </c>
      <c r="I8" s="65">
        <f>SUM(C8:H8)</f>
        <v>0</v>
      </c>
      <c r="J8" s="69">
        <f>N149</f>
        <v>0</v>
      </c>
      <c r="K8" s="65">
        <f>SUM(I8:J8)</f>
        <v>0</v>
      </c>
    </row>
    <row r="9" spans="1:15" ht="20.100000000000001" customHeight="1" x14ac:dyDescent="0.4"/>
    <row r="10" spans="1:15" ht="20.100000000000001" customHeight="1" x14ac:dyDescent="0.4"/>
    <row r="11" spans="1:15" ht="20.100000000000001" customHeight="1" thickBot="1" x14ac:dyDescent="0.45"/>
    <row r="12" spans="1:15" ht="20.100000000000001" customHeight="1" thickBot="1" x14ac:dyDescent="0.45">
      <c r="A12" s="71">
        <f>B3</f>
        <v>0</v>
      </c>
      <c r="B12" s="72"/>
      <c r="C12" s="72"/>
      <c r="D12" s="72"/>
      <c r="E12" s="72"/>
      <c r="F12" s="72"/>
      <c r="G12" s="73"/>
      <c r="I12" s="71">
        <f>B4</f>
        <v>0</v>
      </c>
      <c r="J12" s="72"/>
      <c r="K12" s="72"/>
      <c r="L12" s="72"/>
      <c r="M12" s="72"/>
      <c r="N12" s="72"/>
      <c r="O12" s="73"/>
    </row>
    <row r="13" spans="1:15" ht="20.100000000000001" customHeight="1" thickBot="1" x14ac:dyDescent="0.45">
      <c r="A13" s="4"/>
      <c r="B13" s="20" t="s">
        <v>13</v>
      </c>
      <c r="C13" s="23" t="s">
        <v>14</v>
      </c>
      <c r="D13" s="20" t="s">
        <v>23</v>
      </c>
      <c r="E13" s="38" t="s">
        <v>15</v>
      </c>
      <c r="F13" s="20" t="s">
        <v>6</v>
      </c>
      <c r="G13" s="20" t="s">
        <v>11</v>
      </c>
      <c r="I13" s="4"/>
      <c r="J13" s="23" t="s">
        <v>13</v>
      </c>
      <c r="K13" s="20" t="s">
        <v>14</v>
      </c>
      <c r="L13" s="20" t="s">
        <v>23</v>
      </c>
      <c r="M13" s="28" t="s">
        <v>15</v>
      </c>
      <c r="N13" s="20" t="s">
        <v>6</v>
      </c>
      <c r="O13" s="20" t="s">
        <v>11</v>
      </c>
    </row>
    <row r="14" spans="1:15" ht="20.100000000000001" customHeight="1" x14ac:dyDescent="0.4">
      <c r="A14" s="11" t="s">
        <v>30</v>
      </c>
      <c r="B14" s="35"/>
      <c r="C14" s="11"/>
      <c r="D14" s="29"/>
      <c r="E14" s="41"/>
      <c r="F14" s="11"/>
      <c r="G14" s="59">
        <f>(B14*10^-3*C14*10^-3*E14*F14)-(B18*10^-3*C18*10^-3*E18)</f>
        <v>0</v>
      </c>
      <c r="I14" s="11" t="s">
        <v>30</v>
      </c>
      <c r="J14" s="12"/>
      <c r="K14" s="11"/>
      <c r="L14" s="1"/>
      <c r="M14" s="57"/>
      <c r="N14" s="11"/>
      <c r="O14" s="54">
        <f>(J14*10^-3*K14*10^-3*M14*N14)-(J18*10^-3*K18*10^-3*M18)</f>
        <v>0</v>
      </c>
    </row>
    <row r="15" spans="1:15" ht="20.100000000000001" customHeight="1" x14ac:dyDescent="0.4">
      <c r="A15" s="2" t="s">
        <v>7</v>
      </c>
      <c r="B15" s="14"/>
      <c r="C15" s="2"/>
      <c r="D15" s="29"/>
      <c r="E15" s="43"/>
      <c r="F15" s="2"/>
      <c r="G15" s="54">
        <f>B15*10^-3*C15*10^-3*E15*F15</f>
        <v>0</v>
      </c>
      <c r="I15" s="9" t="s">
        <v>7</v>
      </c>
      <c r="J15" s="5"/>
      <c r="K15" s="2"/>
      <c r="L15" s="1"/>
      <c r="M15" s="56"/>
      <c r="N15" s="2"/>
      <c r="O15" s="54">
        <f t="shared" ref="O15:O22" si="2">J15*10^-3*K15*10^-3*M15*N15</f>
        <v>0</v>
      </c>
    </row>
    <row r="16" spans="1:15" ht="20.100000000000001" customHeight="1" x14ac:dyDescent="0.4">
      <c r="A16" s="2" t="s">
        <v>19</v>
      </c>
      <c r="B16" s="29"/>
      <c r="C16" s="1"/>
      <c r="D16" s="29"/>
      <c r="E16" s="42"/>
      <c r="F16" s="1"/>
      <c r="G16" s="54">
        <f>B16*10^-3*C16*10^-3*E16*F16</f>
        <v>0</v>
      </c>
      <c r="I16" s="2" t="s">
        <v>19</v>
      </c>
      <c r="J16" s="7"/>
      <c r="K16" s="1"/>
      <c r="L16" s="1"/>
      <c r="M16" s="58"/>
      <c r="N16" s="1"/>
      <c r="O16" s="54">
        <f t="shared" si="2"/>
        <v>0</v>
      </c>
    </row>
    <row r="17" spans="1:15" ht="20.100000000000001" customHeight="1" x14ac:dyDescent="0.4">
      <c r="A17" s="2" t="s">
        <v>18</v>
      </c>
      <c r="B17" s="29"/>
      <c r="C17" s="1"/>
      <c r="D17" s="29"/>
      <c r="E17" s="42"/>
      <c r="F17" s="1"/>
      <c r="G17" s="54">
        <f>B17*10^-3*C17*10^-3*E17*F17</f>
        <v>0</v>
      </c>
      <c r="I17" s="2" t="s">
        <v>18</v>
      </c>
      <c r="J17" s="7"/>
      <c r="K17" s="1"/>
      <c r="L17" s="1"/>
      <c r="M17" s="58"/>
      <c r="N17" s="1"/>
      <c r="O17" s="54">
        <f>J17*10^-3*K17*10^-3*M17*N17</f>
        <v>0</v>
      </c>
    </row>
    <row r="18" spans="1:15" ht="20.100000000000001" customHeight="1" x14ac:dyDescent="0.4">
      <c r="A18" s="2" t="s">
        <v>1</v>
      </c>
      <c r="B18" s="29"/>
      <c r="C18" s="1"/>
      <c r="D18" s="29"/>
      <c r="E18" s="42"/>
      <c r="F18" s="1"/>
      <c r="G18" s="54">
        <f t="shared" ref="G18:G22" si="3">B18*10^-3*C18*10^-3*E18*F18</f>
        <v>0</v>
      </c>
      <c r="I18" s="2" t="s">
        <v>1</v>
      </c>
      <c r="J18" s="7"/>
      <c r="K18" s="1"/>
      <c r="L18" s="1"/>
      <c r="M18" s="58"/>
      <c r="N18" s="1"/>
      <c r="O18" s="54">
        <f t="shared" si="2"/>
        <v>0</v>
      </c>
    </row>
    <row r="19" spans="1:15" ht="20.100000000000001" customHeight="1" x14ac:dyDescent="0.4">
      <c r="A19" s="2" t="s">
        <v>31</v>
      </c>
      <c r="B19" s="14"/>
      <c r="C19" s="2"/>
      <c r="D19" s="29"/>
      <c r="E19" s="43"/>
      <c r="F19" s="2"/>
      <c r="G19" s="54">
        <f t="shared" si="3"/>
        <v>0</v>
      </c>
      <c r="I19" s="2" t="s">
        <v>31</v>
      </c>
      <c r="J19" s="5"/>
      <c r="K19" s="2"/>
      <c r="L19" s="1"/>
      <c r="M19" s="56"/>
      <c r="N19" s="2"/>
      <c r="O19" s="54">
        <f t="shared" si="2"/>
        <v>0</v>
      </c>
    </row>
    <row r="20" spans="1:15" ht="20.100000000000001" customHeight="1" x14ac:dyDescent="0.4">
      <c r="A20" s="19" t="s">
        <v>9</v>
      </c>
      <c r="B20" s="14"/>
      <c r="C20" s="2"/>
      <c r="D20" s="29"/>
      <c r="E20" s="43"/>
      <c r="F20" s="9"/>
      <c r="G20" s="54">
        <f t="shared" si="3"/>
        <v>0</v>
      </c>
      <c r="I20" s="19" t="s">
        <v>9</v>
      </c>
      <c r="J20" s="14"/>
      <c r="K20" s="2"/>
      <c r="L20" s="29"/>
      <c r="M20" s="43"/>
      <c r="N20" s="9"/>
      <c r="O20" s="54">
        <f t="shared" si="2"/>
        <v>0</v>
      </c>
    </row>
    <row r="21" spans="1:15" ht="20.100000000000001" customHeight="1" x14ac:dyDescent="0.4">
      <c r="A21" s="18" t="s">
        <v>21</v>
      </c>
      <c r="B21" s="14"/>
      <c r="C21" s="2"/>
      <c r="D21" s="29"/>
      <c r="E21" s="43"/>
      <c r="F21" s="2"/>
      <c r="G21" s="54">
        <f t="shared" si="3"/>
        <v>0</v>
      </c>
      <c r="I21" s="18" t="s">
        <v>21</v>
      </c>
      <c r="J21" s="5"/>
      <c r="K21" s="2"/>
      <c r="L21" s="2"/>
      <c r="M21" s="56"/>
      <c r="N21" s="2"/>
      <c r="O21" s="54">
        <f t="shared" si="2"/>
        <v>0</v>
      </c>
    </row>
    <row r="22" spans="1:15" ht="20.100000000000001" customHeight="1" x14ac:dyDescent="0.4">
      <c r="A22" s="18" t="s">
        <v>24</v>
      </c>
      <c r="B22" s="14"/>
      <c r="C22" s="2"/>
      <c r="D22" s="29"/>
      <c r="E22" s="43"/>
      <c r="F22" s="2"/>
      <c r="G22" s="54">
        <f t="shared" si="3"/>
        <v>0</v>
      </c>
      <c r="I22" s="18" t="s">
        <v>24</v>
      </c>
      <c r="J22" s="5"/>
      <c r="K22" s="2"/>
      <c r="L22" s="2"/>
      <c r="M22" s="56"/>
      <c r="N22" s="2"/>
      <c r="O22" s="54">
        <f t="shared" si="2"/>
        <v>0</v>
      </c>
    </row>
    <row r="23" spans="1:15" ht="20.100000000000001" customHeight="1" x14ac:dyDescent="0.4">
      <c r="A23" s="2" t="s">
        <v>3</v>
      </c>
      <c r="B23" s="30"/>
      <c r="C23" s="2"/>
      <c r="D23" s="52"/>
      <c r="E23" s="60"/>
      <c r="F23" s="2"/>
      <c r="G23" s="54">
        <f>C23*10^-3*E23*F23</f>
        <v>0</v>
      </c>
      <c r="I23" s="2" t="s">
        <v>3</v>
      </c>
      <c r="J23" s="31"/>
      <c r="K23" s="2"/>
      <c r="L23" s="40"/>
      <c r="M23" s="67"/>
      <c r="N23" s="2"/>
      <c r="O23" s="54">
        <f>K23*10^-3*M23*N23</f>
        <v>0</v>
      </c>
    </row>
    <row r="24" spans="1:15" ht="20.100000000000001" customHeight="1" x14ac:dyDescent="0.4">
      <c r="A24" s="2" t="s">
        <v>25</v>
      </c>
      <c r="B24" s="1"/>
      <c r="C24" s="1"/>
      <c r="D24" s="7"/>
      <c r="E24" s="43"/>
      <c r="F24" s="1"/>
      <c r="G24" s="54">
        <f>B24*10^-3*C24*10^-3*E24*F24</f>
        <v>0</v>
      </c>
      <c r="I24" s="2" t="s">
        <v>4</v>
      </c>
      <c r="J24" s="1"/>
      <c r="K24" s="1"/>
      <c r="L24" s="7"/>
      <c r="M24" s="43"/>
      <c r="N24" s="1"/>
      <c r="O24" s="54">
        <f>J24*10^-3*K24*10^-3*M24*N24</f>
        <v>0</v>
      </c>
    </row>
    <row r="25" spans="1:15" ht="20.100000000000001" customHeight="1" x14ac:dyDescent="0.4">
      <c r="A25" s="2" t="s">
        <v>26</v>
      </c>
      <c r="B25" s="2"/>
      <c r="C25" s="2"/>
      <c r="D25" s="5"/>
      <c r="E25" s="43"/>
      <c r="F25" s="2"/>
      <c r="G25" s="54">
        <f>B25*10^-3*C25*10^-3*E25*F25</f>
        <v>0</v>
      </c>
      <c r="I25" s="2" t="s">
        <v>26</v>
      </c>
      <c r="J25" s="2"/>
      <c r="K25" s="2"/>
      <c r="L25" s="5"/>
      <c r="M25" s="43"/>
      <c r="N25" s="2"/>
      <c r="O25" s="54">
        <f>J25*10^-3*K25*10^-3*M25*N25</f>
        <v>0</v>
      </c>
    </row>
    <row r="26" spans="1:15" ht="20.100000000000001" customHeight="1" x14ac:dyDescent="0.4">
      <c r="A26" s="2" t="s">
        <v>27</v>
      </c>
      <c r="B26" s="14"/>
      <c r="C26" s="2"/>
      <c r="D26" s="14"/>
      <c r="E26" s="43"/>
      <c r="F26" s="2"/>
      <c r="G26" s="54">
        <f t="shared" ref="G26:G28" si="4">B26*10^-3*C26*10^-3*E26*F26</f>
        <v>0</v>
      </c>
      <c r="I26" s="2" t="s">
        <v>27</v>
      </c>
      <c r="J26" s="14"/>
      <c r="K26" s="2"/>
      <c r="L26" s="14"/>
      <c r="M26" s="43"/>
      <c r="N26" s="2"/>
      <c r="O26" s="54">
        <f t="shared" ref="O26:O28" si="5">J26*10^-3*K26*10^-3*M26*N26</f>
        <v>0</v>
      </c>
    </row>
    <row r="27" spans="1:15" ht="20.100000000000001" customHeight="1" x14ac:dyDescent="0.4">
      <c r="A27" s="2" t="s">
        <v>28</v>
      </c>
      <c r="B27" s="14"/>
      <c r="C27" s="2"/>
      <c r="D27" s="14"/>
      <c r="E27" s="43"/>
      <c r="F27" s="2"/>
      <c r="G27" s="54">
        <f t="shared" si="4"/>
        <v>0</v>
      </c>
      <c r="I27" s="2" t="s">
        <v>28</v>
      </c>
      <c r="J27" s="14"/>
      <c r="K27" s="2"/>
      <c r="L27" s="14"/>
      <c r="M27" s="43"/>
      <c r="N27" s="2"/>
      <c r="O27" s="54">
        <f t="shared" si="5"/>
        <v>0</v>
      </c>
    </row>
    <row r="28" spans="1:15" ht="20.100000000000001" customHeight="1" x14ac:dyDescent="0.4">
      <c r="A28" s="2" t="s">
        <v>29</v>
      </c>
      <c r="B28" s="14"/>
      <c r="C28" s="2"/>
      <c r="D28" s="14"/>
      <c r="E28" s="43"/>
      <c r="F28" s="2"/>
      <c r="G28" s="54">
        <f t="shared" si="4"/>
        <v>0</v>
      </c>
      <c r="I28" s="2" t="s">
        <v>29</v>
      </c>
      <c r="J28" s="14"/>
      <c r="K28" s="2"/>
      <c r="L28" s="14"/>
      <c r="M28" s="43"/>
      <c r="N28" s="2"/>
      <c r="O28" s="54">
        <f t="shared" si="5"/>
        <v>0</v>
      </c>
    </row>
    <row r="29" spans="1:15" ht="20.100000000000001" customHeight="1" x14ac:dyDescent="0.4">
      <c r="A29" s="48" t="s">
        <v>22</v>
      </c>
      <c r="B29" s="29"/>
      <c r="C29" s="51"/>
      <c r="D29" s="53"/>
      <c r="E29" s="42"/>
      <c r="F29" s="1"/>
      <c r="G29" s="54">
        <f>B29*10^-3*E29*F29</f>
        <v>0</v>
      </c>
      <c r="I29" s="18" t="s">
        <v>22</v>
      </c>
      <c r="J29" s="14"/>
      <c r="K29" s="27"/>
      <c r="L29" s="40"/>
      <c r="M29" s="56"/>
      <c r="N29" s="2"/>
      <c r="O29" s="54">
        <f>J29*10^-3*M29*N29</f>
        <v>0</v>
      </c>
    </row>
    <row r="30" spans="1:15" ht="20.100000000000001" customHeight="1" thickBot="1" x14ac:dyDescent="0.45">
      <c r="A30" s="49" t="s">
        <v>8</v>
      </c>
      <c r="B30" s="50"/>
      <c r="C30" s="34"/>
      <c r="D30" s="52"/>
      <c r="E30" s="62"/>
      <c r="F30" s="10"/>
      <c r="G30" s="63">
        <f>B30*10^-3*E30*F30</f>
        <v>0</v>
      </c>
      <c r="I30" s="17" t="s">
        <v>8</v>
      </c>
      <c r="J30" s="32"/>
      <c r="K30" s="33"/>
      <c r="L30" s="40"/>
      <c r="M30" s="68"/>
      <c r="N30" s="10"/>
      <c r="O30" s="45">
        <f>J30*10^-3*M30*N30</f>
        <v>0</v>
      </c>
    </row>
    <row r="31" spans="1:15" ht="20.100000000000001" customHeight="1" thickBot="1" x14ac:dyDescent="0.45">
      <c r="A31" s="20" t="s">
        <v>11</v>
      </c>
      <c r="B31" s="4"/>
      <c r="C31" s="37"/>
      <c r="D31" s="4"/>
      <c r="E31" s="39"/>
      <c r="F31" s="4"/>
      <c r="G31" s="55">
        <f>SUM(G14:G30)</f>
        <v>0</v>
      </c>
      <c r="I31" s="20" t="s">
        <v>11</v>
      </c>
      <c r="J31" s="34"/>
      <c r="K31" s="34"/>
      <c r="L31" s="4"/>
      <c r="M31" s="34"/>
      <c r="N31" s="34"/>
      <c r="O31" s="55">
        <f>SUM(O14:O30)</f>
        <v>0</v>
      </c>
    </row>
    <row r="32" spans="1:15" ht="20.100000000000001" customHeight="1" x14ac:dyDescent="0.4"/>
    <row r="33" spans="1:15" ht="20.100000000000001" customHeight="1" x14ac:dyDescent="0.4"/>
    <row r="34" spans="1:15" ht="20.100000000000001" customHeight="1" thickBot="1" x14ac:dyDescent="0.45"/>
    <row r="35" spans="1:15" ht="20.100000000000001" customHeight="1" thickBot="1" x14ac:dyDescent="0.45">
      <c r="A35" s="71">
        <f>B5</f>
        <v>0</v>
      </c>
      <c r="B35" s="72"/>
      <c r="C35" s="72"/>
      <c r="D35" s="72"/>
      <c r="E35" s="72"/>
      <c r="F35" s="72"/>
      <c r="G35" s="73"/>
      <c r="I35" s="71">
        <f>B6</f>
        <v>0</v>
      </c>
      <c r="J35" s="72"/>
      <c r="K35" s="72"/>
      <c r="L35" s="72"/>
      <c r="M35" s="72"/>
      <c r="N35" s="72"/>
      <c r="O35" s="73"/>
    </row>
    <row r="36" spans="1:15" ht="20.100000000000001" customHeight="1" thickBot="1" x14ac:dyDescent="0.45">
      <c r="A36" s="4"/>
      <c r="B36" s="23" t="s">
        <v>13</v>
      </c>
      <c r="C36" s="20" t="s">
        <v>14</v>
      </c>
      <c r="D36" s="20" t="s">
        <v>23</v>
      </c>
      <c r="E36" s="28" t="s">
        <v>15</v>
      </c>
      <c r="F36" s="20" t="s">
        <v>6</v>
      </c>
      <c r="G36" s="20" t="s">
        <v>11</v>
      </c>
      <c r="I36" s="4"/>
      <c r="J36" s="23" t="s">
        <v>13</v>
      </c>
      <c r="K36" s="20" t="s">
        <v>14</v>
      </c>
      <c r="L36" s="20" t="s">
        <v>23</v>
      </c>
      <c r="M36" s="28" t="s">
        <v>15</v>
      </c>
      <c r="N36" s="20" t="s">
        <v>6</v>
      </c>
      <c r="O36" s="20" t="s">
        <v>11</v>
      </c>
    </row>
    <row r="37" spans="1:15" ht="20.100000000000001" customHeight="1" x14ac:dyDescent="0.4">
      <c r="A37" s="11" t="s">
        <v>30</v>
      </c>
      <c r="B37" s="12"/>
      <c r="C37" s="11"/>
      <c r="D37" s="1"/>
      <c r="E37" s="57"/>
      <c r="F37" s="11"/>
      <c r="G37" s="42">
        <f>(B37*10^-3*C37*10^-3*E37*F37)-(B41*10^-3*C41*10^-3*E41)</f>
        <v>0</v>
      </c>
      <c r="I37" s="11" t="s">
        <v>30</v>
      </c>
      <c r="J37" s="7"/>
      <c r="K37" s="1"/>
      <c r="L37" s="1"/>
      <c r="M37" s="58"/>
      <c r="N37" s="1"/>
      <c r="O37" s="42">
        <f>(J37*10^-3*K37*10^-3*M37*N37)-(J41*10^-3*K41*10^-3*M41)</f>
        <v>0</v>
      </c>
    </row>
    <row r="38" spans="1:15" ht="20.100000000000001" customHeight="1" x14ac:dyDescent="0.4">
      <c r="A38" s="9" t="s">
        <v>7</v>
      </c>
      <c r="B38" s="5"/>
      <c r="C38" s="2"/>
      <c r="D38" s="1"/>
      <c r="E38" s="56"/>
      <c r="F38" s="2"/>
      <c r="G38" s="42">
        <f t="shared" ref="G38:G45" si="6">B38*10^-3*C38*10^-3*E38*F38</f>
        <v>0</v>
      </c>
      <c r="I38" s="9" t="s">
        <v>7</v>
      </c>
      <c r="J38" s="5"/>
      <c r="K38" s="2"/>
      <c r="L38" s="1"/>
      <c r="M38" s="56"/>
      <c r="N38" s="2"/>
      <c r="O38" s="42">
        <f>J38*10^-3*K38*10^-3*M38*N38</f>
        <v>0</v>
      </c>
    </row>
    <row r="39" spans="1:15" ht="20.100000000000001" customHeight="1" x14ac:dyDescent="0.4">
      <c r="A39" s="2" t="s">
        <v>19</v>
      </c>
      <c r="B39" s="7"/>
      <c r="C39" s="1"/>
      <c r="D39" s="1"/>
      <c r="E39" s="58"/>
      <c r="F39" s="1"/>
      <c r="G39" s="42">
        <f t="shared" si="6"/>
        <v>0</v>
      </c>
      <c r="I39" s="2" t="s">
        <v>19</v>
      </c>
      <c r="J39" s="7"/>
      <c r="K39" s="1"/>
      <c r="L39" s="1"/>
      <c r="M39" s="58"/>
      <c r="N39" s="1"/>
      <c r="O39" s="42">
        <f>J39*10^-3*K39*10^-3*M39*N39</f>
        <v>0</v>
      </c>
    </row>
    <row r="40" spans="1:15" ht="20.100000000000001" customHeight="1" x14ac:dyDescent="0.4">
      <c r="A40" s="2" t="s">
        <v>18</v>
      </c>
      <c r="B40" s="7"/>
      <c r="C40" s="1"/>
      <c r="D40" s="1"/>
      <c r="E40" s="58"/>
      <c r="F40" s="1"/>
      <c r="G40" s="42">
        <f>B40*10^-3*C40*10^-3*E40*F40</f>
        <v>0</v>
      </c>
      <c r="I40" s="2" t="s">
        <v>18</v>
      </c>
      <c r="J40" s="7"/>
      <c r="K40" s="1"/>
      <c r="L40" s="1"/>
      <c r="M40" s="58"/>
      <c r="N40" s="1"/>
      <c r="O40" s="42">
        <f>J40*10^-3*K40*10^-3*M40*N40</f>
        <v>0</v>
      </c>
    </row>
    <row r="41" spans="1:15" ht="20.100000000000001" customHeight="1" x14ac:dyDescent="0.4">
      <c r="A41" s="2" t="s">
        <v>1</v>
      </c>
      <c r="B41" s="7"/>
      <c r="C41" s="1"/>
      <c r="D41" s="1"/>
      <c r="E41" s="58"/>
      <c r="F41" s="1"/>
      <c r="G41" s="42">
        <f t="shared" si="6"/>
        <v>0</v>
      </c>
      <c r="I41" s="2" t="s">
        <v>1</v>
      </c>
      <c r="J41" s="7"/>
      <c r="K41" s="1"/>
      <c r="L41" s="1"/>
      <c r="M41" s="58"/>
      <c r="N41" s="1"/>
      <c r="O41" s="42">
        <f t="shared" ref="O41:O45" si="7">J41*10^-3*K41*10^-3*M41*N41</f>
        <v>0</v>
      </c>
    </row>
    <row r="42" spans="1:15" ht="20.100000000000001" customHeight="1" x14ac:dyDescent="0.4">
      <c r="A42" s="2" t="s">
        <v>31</v>
      </c>
      <c r="B42" s="5"/>
      <c r="C42" s="2"/>
      <c r="D42" s="1"/>
      <c r="E42" s="56"/>
      <c r="F42" s="2"/>
      <c r="G42" s="42">
        <f t="shared" si="6"/>
        <v>0</v>
      </c>
      <c r="I42" s="2" t="s">
        <v>31</v>
      </c>
      <c r="J42" s="5"/>
      <c r="K42" s="2"/>
      <c r="L42" s="1"/>
      <c r="M42" s="56"/>
      <c r="N42" s="2"/>
      <c r="O42" s="42">
        <f t="shared" si="7"/>
        <v>0</v>
      </c>
    </row>
    <row r="43" spans="1:15" ht="20.100000000000001" customHeight="1" x14ac:dyDescent="0.4">
      <c r="A43" s="19" t="s">
        <v>9</v>
      </c>
      <c r="B43" s="14"/>
      <c r="C43" s="2"/>
      <c r="D43" s="29"/>
      <c r="E43" s="43"/>
      <c r="F43" s="9"/>
      <c r="G43" s="42">
        <f t="shared" si="6"/>
        <v>0</v>
      </c>
      <c r="I43" s="19" t="s">
        <v>9</v>
      </c>
      <c r="J43" s="5"/>
      <c r="K43" s="2"/>
      <c r="L43" s="1"/>
      <c r="M43" s="56"/>
      <c r="N43" s="9"/>
      <c r="O43" s="42">
        <f t="shared" si="7"/>
        <v>0</v>
      </c>
    </row>
    <row r="44" spans="1:15" ht="20.100000000000001" customHeight="1" x14ac:dyDescent="0.4">
      <c r="A44" s="18" t="s">
        <v>21</v>
      </c>
      <c r="B44" s="5"/>
      <c r="C44" s="2"/>
      <c r="D44" s="2"/>
      <c r="E44" s="56"/>
      <c r="F44" s="2"/>
      <c r="G44" s="42">
        <f t="shared" si="6"/>
        <v>0</v>
      </c>
      <c r="I44" s="18" t="s">
        <v>21</v>
      </c>
      <c r="J44" s="5"/>
      <c r="K44" s="2"/>
      <c r="L44" s="1"/>
      <c r="M44" s="56"/>
      <c r="N44" s="2"/>
      <c r="O44" s="42">
        <f t="shared" si="7"/>
        <v>0</v>
      </c>
    </row>
    <row r="45" spans="1:15" ht="20.100000000000001" customHeight="1" x14ac:dyDescent="0.4">
      <c r="A45" s="18" t="s">
        <v>24</v>
      </c>
      <c r="B45" s="5"/>
      <c r="C45" s="2"/>
      <c r="D45" s="2"/>
      <c r="E45" s="56"/>
      <c r="F45" s="2"/>
      <c r="G45" s="42">
        <f t="shared" si="6"/>
        <v>0</v>
      </c>
      <c r="I45" s="18" t="s">
        <v>24</v>
      </c>
      <c r="J45" s="5"/>
      <c r="K45" s="2"/>
      <c r="L45" s="1"/>
      <c r="M45" s="56"/>
      <c r="N45" s="2"/>
      <c r="O45" s="42">
        <f t="shared" si="7"/>
        <v>0</v>
      </c>
    </row>
    <row r="46" spans="1:15" ht="20.100000000000001" customHeight="1" x14ac:dyDescent="0.4">
      <c r="A46" s="2" t="s">
        <v>3</v>
      </c>
      <c r="B46" s="31"/>
      <c r="C46" s="2"/>
      <c r="D46" s="40"/>
      <c r="E46" s="67"/>
      <c r="F46" s="2"/>
      <c r="G46" s="42">
        <f>C46*10^-3*E46*F46</f>
        <v>0</v>
      </c>
      <c r="I46" s="2" t="s">
        <v>3</v>
      </c>
      <c r="J46" s="31"/>
      <c r="K46" s="2"/>
      <c r="L46" s="40"/>
      <c r="M46" s="56"/>
      <c r="N46" s="2"/>
      <c r="O46" s="42">
        <f>K46*10^-3*M46*N46</f>
        <v>0</v>
      </c>
    </row>
    <row r="47" spans="1:15" ht="20.100000000000001" customHeight="1" x14ac:dyDescent="0.4">
      <c r="A47" s="2" t="s">
        <v>25</v>
      </c>
      <c r="B47" s="1"/>
      <c r="C47" s="1"/>
      <c r="D47" s="7"/>
      <c r="E47" s="43"/>
      <c r="F47" s="25"/>
      <c r="G47" s="54">
        <f>B47*10^-3*C47*10^-3*E47*F47</f>
        <v>0</v>
      </c>
      <c r="I47" s="2" t="s">
        <v>25</v>
      </c>
      <c r="J47" s="2"/>
      <c r="K47" s="2"/>
      <c r="L47" s="5"/>
      <c r="M47" s="43"/>
      <c r="N47" s="13"/>
      <c r="O47" s="54">
        <f>J47*10^-3*K47*10^-3*M47*N47</f>
        <v>0</v>
      </c>
    </row>
    <row r="48" spans="1:15" ht="20.100000000000001" customHeight="1" x14ac:dyDescent="0.4">
      <c r="A48" s="2" t="s">
        <v>26</v>
      </c>
      <c r="B48" s="2"/>
      <c r="C48" s="2"/>
      <c r="D48" s="5"/>
      <c r="E48" s="43"/>
      <c r="F48" s="13"/>
      <c r="G48" s="54">
        <f>B48*10^-3*C48*10^-3*E48*F48</f>
        <v>0</v>
      </c>
      <c r="I48" s="2" t="s">
        <v>26</v>
      </c>
      <c r="J48" s="2"/>
      <c r="K48" s="2"/>
      <c r="L48" s="5"/>
      <c r="M48" s="43"/>
      <c r="N48" s="13"/>
      <c r="O48" s="54">
        <f>J48*10^-3*K48*10^-3*M48*N48</f>
        <v>0</v>
      </c>
    </row>
    <row r="49" spans="1:15" ht="20.100000000000001" customHeight="1" x14ac:dyDescent="0.4">
      <c r="A49" s="2" t="s">
        <v>27</v>
      </c>
      <c r="B49" s="14"/>
      <c r="C49" s="2"/>
      <c r="D49" s="14"/>
      <c r="E49" s="43"/>
      <c r="F49" s="2"/>
      <c r="G49" s="54">
        <f t="shared" ref="G49:G51" si="8">B49*10^-3*C49*10^-3*E49*F49</f>
        <v>0</v>
      </c>
      <c r="I49" s="2" t="s">
        <v>27</v>
      </c>
      <c r="J49" s="2"/>
      <c r="K49" s="2"/>
      <c r="L49" s="5"/>
      <c r="M49" s="43"/>
      <c r="N49" s="13"/>
      <c r="O49" s="54">
        <f>J49*10^-3*K49*10^-3*M49*N49</f>
        <v>0</v>
      </c>
    </row>
    <row r="50" spans="1:15" ht="20.100000000000001" customHeight="1" x14ac:dyDescent="0.4">
      <c r="A50" s="2" t="s">
        <v>28</v>
      </c>
      <c r="B50" s="14"/>
      <c r="C50" s="2"/>
      <c r="D50" s="14"/>
      <c r="E50" s="43"/>
      <c r="F50" s="2"/>
      <c r="G50" s="54">
        <f t="shared" si="8"/>
        <v>0</v>
      </c>
      <c r="I50" s="2" t="s">
        <v>28</v>
      </c>
      <c r="J50" s="14"/>
      <c r="K50" s="2"/>
      <c r="L50" s="14"/>
      <c r="M50" s="43"/>
      <c r="N50" s="2"/>
      <c r="O50" s="54">
        <f t="shared" ref="O50:O51" si="9">J50*10^-3*K50*10^-3*M50*N50</f>
        <v>0</v>
      </c>
    </row>
    <row r="51" spans="1:15" ht="20.100000000000001" customHeight="1" x14ac:dyDescent="0.4">
      <c r="A51" s="2" t="s">
        <v>29</v>
      </c>
      <c r="B51" s="14"/>
      <c r="C51" s="2"/>
      <c r="D51" s="14"/>
      <c r="E51" s="43"/>
      <c r="F51" s="2"/>
      <c r="G51" s="54">
        <f t="shared" si="8"/>
        <v>0</v>
      </c>
      <c r="I51" s="2" t="s">
        <v>29</v>
      </c>
      <c r="J51" s="14"/>
      <c r="K51" s="2"/>
      <c r="L51" s="14"/>
      <c r="M51" s="43"/>
      <c r="N51" s="2"/>
      <c r="O51" s="54">
        <f t="shared" si="9"/>
        <v>0</v>
      </c>
    </row>
    <row r="52" spans="1:15" ht="20.100000000000001" customHeight="1" x14ac:dyDescent="0.4">
      <c r="A52" s="18" t="s">
        <v>22</v>
      </c>
      <c r="B52" s="5"/>
      <c r="C52" s="27"/>
      <c r="D52" s="40"/>
      <c r="E52" s="56"/>
      <c r="F52" s="2"/>
      <c r="G52" s="42">
        <f>B52*10^-3*E52*F52</f>
        <v>0</v>
      </c>
      <c r="I52" s="18" t="s">
        <v>22</v>
      </c>
      <c r="J52" s="14"/>
      <c r="K52" s="27"/>
      <c r="L52" s="40"/>
      <c r="M52" s="56"/>
      <c r="N52" s="2"/>
      <c r="O52" s="42">
        <f>J52*10^-3*M52*N52</f>
        <v>0</v>
      </c>
    </row>
    <row r="53" spans="1:15" ht="20.100000000000001" customHeight="1" thickBot="1" x14ac:dyDescent="0.45">
      <c r="A53" s="17" t="s">
        <v>8</v>
      </c>
      <c r="B53" s="22"/>
      <c r="C53" s="33"/>
      <c r="D53" s="40"/>
      <c r="E53" s="68"/>
      <c r="F53" s="10"/>
      <c r="G53" s="46">
        <f>B53*10^-3*E53*F53</f>
        <v>0</v>
      </c>
      <c r="I53" s="17" t="s">
        <v>8</v>
      </c>
      <c r="J53" s="32"/>
      <c r="K53" s="33"/>
      <c r="L53" s="40"/>
      <c r="M53" s="68"/>
      <c r="N53" s="10"/>
      <c r="O53" s="46">
        <f>J53*10^-3*M53*N53</f>
        <v>0</v>
      </c>
    </row>
    <row r="54" spans="1:15" ht="20.100000000000001" customHeight="1" thickBot="1" x14ac:dyDescent="0.45">
      <c r="A54" s="20" t="s">
        <v>11</v>
      </c>
      <c r="B54" s="34"/>
      <c r="C54" s="34"/>
      <c r="D54" s="4"/>
      <c r="E54" s="34"/>
      <c r="F54" s="34"/>
      <c r="G54" s="55">
        <f>SUM(G37:G53)</f>
        <v>0</v>
      </c>
      <c r="I54" s="20" t="s">
        <v>11</v>
      </c>
      <c r="J54" s="34"/>
      <c r="K54" s="34"/>
      <c r="L54" s="4"/>
      <c r="M54" s="34"/>
      <c r="N54" s="34"/>
      <c r="O54" s="55">
        <f>SUM(O37:O53)</f>
        <v>0</v>
      </c>
    </row>
    <row r="55" spans="1:15" ht="20.100000000000001" customHeight="1" x14ac:dyDescent="0.4">
      <c r="A55" s="50"/>
      <c r="B55" s="50"/>
      <c r="C55" s="50"/>
      <c r="D55" s="50"/>
      <c r="E55" s="50"/>
      <c r="F55" s="50"/>
      <c r="G55" s="61"/>
      <c r="I55" s="50"/>
      <c r="J55" s="50"/>
      <c r="K55" s="50"/>
      <c r="L55" s="50"/>
      <c r="M55" s="50"/>
      <c r="N55" s="50"/>
      <c r="O55" s="61"/>
    </row>
    <row r="56" spans="1:15" ht="20.100000000000001" customHeight="1" x14ac:dyDescent="0.4">
      <c r="A56" s="50"/>
      <c r="B56" s="50"/>
      <c r="C56" s="50"/>
      <c r="D56" s="50"/>
      <c r="E56" s="50"/>
      <c r="F56" s="50"/>
      <c r="G56" s="61"/>
      <c r="I56" s="50"/>
      <c r="J56" s="50"/>
      <c r="K56" s="50"/>
      <c r="L56" s="50"/>
      <c r="M56" s="50"/>
      <c r="N56" s="50"/>
      <c r="O56" s="61"/>
    </row>
    <row r="57" spans="1:15" ht="20.100000000000001" customHeight="1" thickBot="1" x14ac:dyDescent="0.45"/>
    <row r="58" spans="1:15" ht="20.100000000000001" customHeight="1" thickBot="1" x14ac:dyDescent="0.45">
      <c r="A58" s="71">
        <f>B7</f>
        <v>0</v>
      </c>
      <c r="B58" s="72"/>
      <c r="C58" s="72"/>
      <c r="D58" s="72"/>
      <c r="E58" s="72"/>
      <c r="F58" s="72"/>
      <c r="G58" s="73"/>
      <c r="I58" s="71">
        <f>B8</f>
        <v>0</v>
      </c>
      <c r="J58" s="72"/>
      <c r="K58" s="72"/>
      <c r="L58" s="72"/>
      <c r="M58" s="72"/>
      <c r="N58" s="72"/>
      <c r="O58" s="73"/>
    </row>
    <row r="59" spans="1:15" ht="20.100000000000001" customHeight="1" thickBot="1" x14ac:dyDescent="0.45">
      <c r="A59" s="4"/>
      <c r="B59" s="23" t="s">
        <v>13</v>
      </c>
      <c r="C59" s="20" t="s">
        <v>14</v>
      </c>
      <c r="D59" s="20" t="s">
        <v>23</v>
      </c>
      <c r="E59" s="28" t="s">
        <v>15</v>
      </c>
      <c r="F59" s="20" t="s">
        <v>6</v>
      </c>
      <c r="G59" s="20" t="s">
        <v>11</v>
      </c>
      <c r="I59" s="4"/>
      <c r="J59" s="23" t="s">
        <v>13</v>
      </c>
      <c r="K59" s="20" t="s">
        <v>14</v>
      </c>
      <c r="L59" s="20" t="s">
        <v>23</v>
      </c>
      <c r="M59" s="28" t="s">
        <v>15</v>
      </c>
      <c r="N59" s="20" t="s">
        <v>6</v>
      </c>
      <c r="O59" s="20" t="s">
        <v>11</v>
      </c>
    </row>
    <row r="60" spans="1:15" ht="20.100000000000001" customHeight="1" x14ac:dyDescent="0.4">
      <c r="A60" s="11" t="s">
        <v>30</v>
      </c>
      <c r="B60" s="7"/>
      <c r="C60" s="1"/>
      <c r="D60" s="1"/>
      <c r="E60" s="58"/>
      <c r="F60" s="1"/>
      <c r="G60" s="42">
        <f t="shared" ref="G60:G68" si="10">B60*10^-3*C60*10^-3*E60*F60</f>
        <v>0</v>
      </c>
      <c r="I60" s="11" t="s">
        <v>30</v>
      </c>
      <c r="J60" s="7"/>
      <c r="K60" s="1"/>
      <c r="L60" s="1"/>
      <c r="M60" s="58"/>
      <c r="N60" s="1"/>
      <c r="O60" s="42">
        <f t="shared" ref="O60:O68" si="11">J60*10^-3*K60*10^-3*M60*N60</f>
        <v>0</v>
      </c>
    </row>
    <row r="61" spans="1:15" ht="20.100000000000001" customHeight="1" x14ac:dyDescent="0.4">
      <c r="A61" s="9" t="s">
        <v>7</v>
      </c>
      <c r="B61" s="5"/>
      <c r="C61" s="2"/>
      <c r="D61" s="2"/>
      <c r="E61" s="56"/>
      <c r="F61" s="2"/>
      <c r="G61" s="42">
        <f t="shared" si="10"/>
        <v>0</v>
      </c>
      <c r="I61" s="9" t="s">
        <v>7</v>
      </c>
      <c r="J61" s="5"/>
      <c r="K61" s="2"/>
      <c r="L61" s="2"/>
      <c r="M61" s="56"/>
      <c r="N61" s="2"/>
      <c r="O61" s="42">
        <f t="shared" si="11"/>
        <v>0</v>
      </c>
    </row>
    <row r="62" spans="1:15" ht="20.100000000000001" customHeight="1" x14ac:dyDescent="0.4">
      <c r="A62" s="2" t="s">
        <v>19</v>
      </c>
      <c r="B62" s="7"/>
      <c r="C62" s="1"/>
      <c r="D62" s="2"/>
      <c r="E62" s="58"/>
      <c r="F62" s="1"/>
      <c r="G62" s="42">
        <f t="shared" si="10"/>
        <v>0</v>
      </c>
      <c r="I62" s="2" t="s">
        <v>19</v>
      </c>
      <c r="J62" s="7"/>
      <c r="K62" s="1"/>
      <c r="L62" s="2"/>
      <c r="M62" s="58"/>
      <c r="N62" s="1"/>
      <c r="O62" s="42">
        <f t="shared" si="11"/>
        <v>0</v>
      </c>
    </row>
    <row r="63" spans="1:15" ht="20.100000000000001" customHeight="1" x14ac:dyDescent="0.4">
      <c r="A63" s="2" t="s">
        <v>18</v>
      </c>
      <c r="B63" s="7"/>
      <c r="C63" s="1"/>
      <c r="D63" s="2"/>
      <c r="E63" s="58"/>
      <c r="F63" s="1"/>
      <c r="G63" s="42">
        <f t="shared" si="10"/>
        <v>0</v>
      </c>
      <c r="I63" s="2" t="s">
        <v>18</v>
      </c>
      <c r="J63" s="7"/>
      <c r="K63" s="1"/>
      <c r="L63" s="2"/>
      <c r="M63" s="58"/>
      <c r="N63" s="1"/>
      <c r="O63" s="42">
        <f t="shared" si="11"/>
        <v>0</v>
      </c>
    </row>
    <row r="64" spans="1:15" ht="20.100000000000001" customHeight="1" x14ac:dyDescent="0.4">
      <c r="A64" s="2" t="s">
        <v>1</v>
      </c>
      <c r="B64" s="7"/>
      <c r="C64" s="1"/>
      <c r="D64" s="2"/>
      <c r="E64" s="58"/>
      <c r="F64" s="1"/>
      <c r="G64" s="42">
        <f t="shared" si="10"/>
        <v>0</v>
      </c>
      <c r="I64" s="2" t="s">
        <v>1</v>
      </c>
      <c r="J64" s="7"/>
      <c r="K64" s="1"/>
      <c r="L64" s="2"/>
      <c r="M64" s="58"/>
      <c r="N64" s="1"/>
      <c r="O64" s="42">
        <f t="shared" si="11"/>
        <v>0</v>
      </c>
    </row>
    <row r="65" spans="1:15" ht="20.100000000000001" customHeight="1" x14ac:dyDescent="0.4">
      <c r="A65" s="2" t="s">
        <v>31</v>
      </c>
      <c r="B65" s="5"/>
      <c r="C65" s="2"/>
      <c r="D65" s="2"/>
      <c r="E65" s="56"/>
      <c r="F65" s="2"/>
      <c r="G65" s="42">
        <f t="shared" si="10"/>
        <v>0</v>
      </c>
      <c r="I65" s="2" t="s">
        <v>31</v>
      </c>
      <c r="J65" s="5"/>
      <c r="K65" s="2"/>
      <c r="L65" s="2"/>
      <c r="M65" s="56"/>
      <c r="N65" s="2"/>
      <c r="O65" s="42">
        <f t="shared" si="11"/>
        <v>0</v>
      </c>
    </row>
    <row r="66" spans="1:15" ht="20.100000000000001" customHeight="1" x14ac:dyDescent="0.4">
      <c r="A66" s="19" t="s">
        <v>9</v>
      </c>
      <c r="B66" s="5"/>
      <c r="C66" s="2"/>
      <c r="D66" s="2"/>
      <c r="E66" s="56"/>
      <c r="F66" s="9"/>
      <c r="G66" s="42">
        <f t="shared" si="10"/>
        <v>0</v>
      </c>
      <c r="I66" s="19" t="s">
        <v>9</v>
      </c>
      <c r="J66" s="5"/>
      <c r="K66" s="2"/>
      <c r="L66" s="2"/>
      <c r="M66" s="56"/>
      <c r="N66" s="9"/>
      <c r="O66" s="42">
        <f t="shared" si="11"/>
        <v>0</v>
      </c>
    </row>
    <row r="67" spans="1:15" ht="20.100000000000001" customHeight="1" x14ac:dyDescent="0.4">
      <c r="A67" s="18" t="s">
        <v>21</v>
      </c>
      <c r="B67" s="5"/>
      <c r="C67" s="2"/>
      <c r="D67" s="2"/>
      <c r="E67" s="56"/>
      <c r="F67" s="2"/>
      <c r="G67" s="42">
        <f t="shared" si="10"/>
        <v>0</v>
      </c>
      <c r="I67" s="18" t="s">
        <v>21</v>
      </c>
      <c r="J67" s="5"/>
      <c r="K67" s="2"/>
      <c r="L67" s="2"/>
      <c r="M67" s="56"/>
      <c r="N67" s="2"/>
      <c r="O67" s="42">
        <f t="shared" si="11"/>
        <v>0</v>
      </c>
    </row>
    <row r="68" spans="1:15" ht="20.100000000000001" customHeight="1" x14ac:dyDescent="0.4">
      <c r="A68" s="18" t="s">
        <v>24</v>
      </c>
      <c r="B68" s="5"/>
      <c r="C68" s="2"/>
      <c r="D68" s="2"/>
      <c r="E68" s="56"/>
      <c r="F68" s="2"/>
      <c r="G68" s="42">
        <f t="shared" si="10"/>
        <v>0</v>
      </c>
      <c r="I68" s="18" t="s">
        <v>24</v>
      </c>
      <c r="J68" s="5"/>
      <c r="K68" s="2"/>
      <c r="L68" s="2"/>
      <c r="M68" s="56"/>
      <c r="N68" s="2"/>
      <c r="O68" s="42">
        <f t="shared" si="11"/>
        <v>0</v>
      </c>
    </row>
    <row r="69" spans="1:15" ht="20.100000000000001" customHeight="1" x14ac:dyDescent="0.4">
      <c r="A69" s="2" t="s">
        <v>3</v>
      </c>
      <c r="B69" s="31"/>
      <c r="C69" s="2"/>
      <c r="D69" s="2"/>
      <c r="E69" s="56"/>
      <c r="F69" s="2"/>
      <c r="G69" s="42">
        <f>C69*10^-3*E69*F69</f>
        <v>0</v>
      </c>
      <c r="I69" s="2" t="s">
        <v>3</v>
      </c>
      <c r="J69" s="31"/>
      <c r="K69" s="2"/>
      <c r="L69" s="2"/>
      <c r="M69" s="56"/>
      <c r="N69" s="2"/>
      <c r="O69" s="42">
        <f>K69*10^-3*M69*N69</f>
        <v>0</v>
      </c>
    </row>
    <row r="70" spans="1:15" ht="20.100000000000001" customHeight="1" x14ac:dyDescent="0.4">
      <c r="A70" s="2" t="s">
        <v>4</v>
      </c>
      <c r="B70" s="5"/>
      <c r="C70" s="2"/>
      <c r="D70" s="2"/>
      <c r="E70" s="56"/>
      <c r="F70" s="2"/>
      <c r="G70" s="54">
        <f>B70*10^-3*C70*10^-3*E70*F70</f>
        <v>0</v>
      </c>
      <c r="I70" s="2" t="s">
        <v>25</v>
      </c>
      <c r="J70" s="5"/>
      <c r="K70" s="2"/>
      <c r="L70" s="2"/>
      <c r="M70" s="56"/>
      <c r="N70" s="2"/>
      <c r="O70" s="54">
        <f>J70*10^-3*K70*10^-3*M70*N70</f>
        <v>0</v>
      </c>
    </row>
    <row r="71" spans="1:15" ht="20.100000000000001" customHeight="1" x14ac:dyDescent="0.4">
      <c r="A71" s="2" t="s">
        <v>26</v>
      </c>
      <c r="B71" s="2"/>
      <c r="C71" s="2"/>
      <c r="D71" s="5"/>
      <c r="E71" s="43"/>
      <c r="F71" s="13"/>
      <c r="G71" s="54">
        <f>B71*10^-3*C71*10^-3*E71*F71</f>
        <v>0</v>
      </c>
      <c r="I71" s="2" t="s">
        <v>26</v>
      </c>
      <c r="J71" s="2"/>
      <c r="K71" s="2"/>
      <c r="L71" s="5"/>
      <c r="M71" s="43"/>
      <c r="N71" s="13"/>
      <c r="O71" s="54">
        <f>J71*10^-3*K71*10^-3*M71*N71</f>
        <v>0</v>
      </c>
    </row>
    <row r="72" spans="1:15" ht="20.100000000000001" customHeight="1" x14ac:dyDescent="0.4">
      <c r="A72" s="2" t="s">
        <v>27</v>
      </c>
      <c r="B72" s="14"/>
      <c r="C72" s="2"/>
      <c r="D72" s="14"/>
      <c r="E72" s="43"/>
      <c r="F72" s="2"/>
      <c r="G72" s="54">
        <f>B72*10^-3*C72*10^-3*E72*F72</f>
        <v>0</v>
      </c>
      <c r="I72" s="2" t="s">
        <v>27</v>
      </c>
      <c r="J72" s="14"/>
      <c r="K72" s="2"/>
      <c r="L72" s="14"/>
      <c r="M72" s="43"/>
      <c r="N72" s="2"/>
      <c r="O72" s="54">
        <f>J72*10^-3*K72*10^-3*M72*N72</f>
        <v>0</v>
      </c>
    </row>
    <row r="73" spans="1:15" ht="20.100000000000001" customHeight="1" x14ac:dyDescent="0.4">
      <c r="A73" s="2" t="s">
        <v>28</v>
      </c>
      <c r="B73" s="14"/>
      <c r="C73" s="2"/>
      <c r="D73" s="14"/>
      <c r="E73" s="43"/>
      <c r="F73" s="2"/>
      <c r="G73" s="54">
        <f t="shared" ref="G73:G74" si="12">B73*10^-3*C73*10^-3*E73*F73</f>
        <v>0</v>
      </c>
      <c r="I73" s="2" t="s">
        <v>28</v>
      </c>
      <c r="J73" s="14"/>
      <c r="K73" s="2"/>
      <c r="L73" s="14"/>
      <c r="M73" s="43"/>
      <c r="N73" s="2"/>
      <c r="O73" s="54">
        <f t="shared" ref="O73" si="13">J73*10^-3*K73*10^-3*M73*N73</f>
        <v>0</v>
      </c>
    </row>
    <row r="74" spans="1:15" ht="20.100000000000001" customHeight="1" x14ac:dyDescent="0.4">
      <c r="A74" s="2" t="s">
        <v>29</v>
      </c>
      <c r="B74" s="14"/>
      <c r="C74" s="2"/>
      <c r="D74" s="14"/>
      <c r="E74" s="43"/>
      <c r="F74" s="2"/>
      <c r="G74" s="54">
        <f t="shared" si="12"/>
        <v>0</v>
      </c>
      <c r="I74" s="2" t="s">
        <v>29</v>
      </c>
      <c r="J74" s="14"/>
      <c r="K74" s="2"/>
      <c r="L74" s="14"/>
      <c r="M74" s="43"/>
      <c r="N74" s="2"/>
      <c r="O74" s="54">
        <f>J74*10^-3*K74*10^-3*M74*N74</f>
        <v>0</v>
      </c>
    </row>
    <row r="75" spans="1:15" ht="20.100000000000001" customHeight="1" x14ac:dyDescent="0.4">
      <c r="A75" s="18" t="s">
        <v>22</v>
      </c>
      <c r="B75" s="14"/>
      <c r="C75" s="27"/>
      <c r="D75" s="2"/>
      <c r="E75" s="56"/>
      <c r="F75" s="2"/>
      <c r="G75" s="42">
        <f>B75*10^-3*E75*F75</f>
        <v>0</v>
      </c>
      <c r="I75" s="18" t="s">
        <v>22</v>
      </c>
      <c r="J75" s="14"/>
      <c r="K75" s="27"/>
      <c r="L75" s="2"/>
      <c r="M75" s="56"/>
      <c r="N75" s="2"/>
      <c r="O75" s="42">
        <f>J75*10^-3*M75*N75</f>
        <v>0</v>
      </c>
    </row>
    <row r="76" spans="1:15" ht="20.100000000000001" customHeight="1" thickBot="1" x14ac:dyDescent="0.45">
      <c r="A76" s="17" t="s">
        <v>8</v>
      </c>
      <c r="B76" s="32"/>
      <c r="C76" s="33"/>
      <c r="D76" s="16"/>
      <c r="E76" s="68"/>
      <c r="F76" s="10"/>
      <c r="G76" s="46">
        <f>B76*10^-3*E76*F76</f>
        <v>0</v>
      </c>
      <c r="I76" s="17" t="s">
        <v>8</v>
      </c>
      <c r="J76" s="32"/>
      <c r="K76" s="33"/>
      <c r="L76" s="16"/>
      <c r="M76" s="68"/>
      <c r="N76" s="10"/>
      <c r="O76" s="46">
        <f>J76*10^-3*M76*N76</f>
        <v>0</v>
      </c>
    </row>
    <row r="77" spans="1:15" ht="20.100000000000001" customHeight="1" thickBot="1" x14ac:dyDescent="0.45">
      <c r="A77" s="20" t="s">
        <v>11</v>
      </c>
      <c r="B77" s="34"/>
      <c r="C77" s="34"/>
      <c r="D77" s="4"/>
      <c r="E77" s="34"/>
      <c r="F77" s="34"/>
      <c r="G77" s="55">
        <f>SUM(G60:G76)</f>
        <v>0</v>
      </c>
      <c r="I77" s="20" t="s">
        <v>11</v>
      </c>
      <c r="J77" s="34"/>
      <c r="K77" s="34"/>
      <c r="L77" s="4"/>
      <c r="M77" s="34"/>
      <c r="N77" s="34"/>
      <c r="O77" s="55">
        <f>SUM(O60:O76)</f>
        <v>0</v>
      </c>
    </row>
    <row r="78" spans="1:15" ht="20.100000000000001" customHeight="1" x14ac:dyDescent="0.4"/>
    <row r="79" spans="1:15" ht="20.100000000000001" customHeight="1" x14ac:dyDescent="0.4"/>
    <row r="80" spans="1:15" ht="20.100000000000001" customHeight="1" thickBot="1" x14ac:dyDescent="0.45"/>
    <row r="81" spans="1:14" ht="20.100000000000001" customHeight="1" thickBot="1" x14ac:dyDescent="0.45">
      <c r="A81" s="71">
        <f>B3</f>
        <v>0</v>
      </c>
      <c r="B81" s="72"/>
      <c r="C81" s="72"/>
      <c r="D81" s="73"/>
      <c r="F81" s="71">
        <f>B4</f>
        <v>0</v>
      </c>
      <c r="G81" s="72"/>
      <c r="H81" s="72"/>
      <c r="I81" s="73"/>
      <c r="K81" s="71">
        <f>B5</f>
        <v>0</v>
      </c>
      <c r="L81" s="72"/>
      <c r="M81" s="72"/>
      <c r="N81" s="73"/>
    </row>
    <row r="82" spans="1:14" ht="20.100000000000001" customHeight="1" thickBot="1" x14ac:dyDescent="0.45">
      <c r="A82" s="21" t="s">
        <v>16</v>
      </c>
      <c r="B82" s="20" t="s">
        <v>20</v>
      </c>
      <c r="C82" s="24" t="s">
        <v>17</v>
      </c>
      <c r="D82" s="20" t="s">
        <v>11</v>
      </c>
      <c r="F82" s="21" t="s">
        <v>16</v>
      </c>
      <c r="G82" s="20" t="s">
        <v>20</v>
      </c>
      <c r="H82" s="24" t="s">
        <v>17</v>
      </c>
      <c r="I82" s="20" t="s">
        <v>11</v>
      </c>
      <c r="K82" s="21" t="s">
        <v>16</v>
      </c>
      <c r="L82" s="20" t="s">
        <v>20</v>
      </c>
      <c r="M82" s="24" t="s">
        <v>17</v>
      </c>
      <c r="N82" s="20" t="s">
        <v>11</v>
      </c>
    </row>
    <row r="83" spans="1:14" ht="20.100000000000001" customHeight="1" x14ac:dyDescent="0.4">
      <c r="A83" s="12"/>
      <c r="B83" s="41"/>
      <c r="C83" s="29"/>
      <c r="D83" s="41">
        <f t="shared" ref="D83:D96" si="14">B83*C83</f>
        <v>0</v>
      </c>
      <c r="F83" s="12"/>
      <c r="G83" s="41"/>
      <c r="H83" s="25"/>
      <c r="I83" s="41">
        <f>G83*H83</f>
        <v>0</v>
      </c>
      <c r="K83" s="12"/>
      <c r="L83" s="41"/>
      <c r="M83" s="25"/>
      <c r="N83" s="41">
        <f>L83*M83</f>
        <v>0</v>
      </c>
    </row>
    <row r="84" spans="1:14" ht="20.100000000000001" customHeight="1" x14ac:dyDescent="0.4">
      <c r="A84" s="5"/>
      <c r="B84" s="43"/>
      <c r="C84" s="14"/>
      <c r="D84" s="43">
        <f t="shared" si="14"/>
        <v>0</v>
      </c>
      <c r="F84" s="5"/>
      <c r="G84" s="43"/>
      <c r="H84" s="13"/>
      <c r="I84" s="43">
        <f>G84*H84</f>
        <v>0</v>
      </c>
      <c r="K84" s="5"/>
      <c r="L84" s="43"/>
      <c r="M84" s="13"/>
      <c r="N84" s="43">
        <f>L84*M84</f>
        <v>0</v>
      </c>
    </row>
    <row r="85" spans="1:14" ht="20.100000000000001" customHeight="1" x14ac:dyDescent="0.4">
      <c r="A85" s="5"/>
      <c r="B85" s="43"/>
      <c r="C85" s="14"/>
      <c r="D85" s="43">
        <f t="shared" si="14"/>
        <v>0</v>
      </c>
      <c r="F85" s="5"/>
      <c r="G85" s="43"/>
      <c r="H85" s="13"/>
      <c r="I85" s="43">
        <f t="shared" ref="I85:I112" si="15">G85*H85</f>
        <v>0</v>
      </c>
      <c r="K85" s="5"/>
      <c r="L85" s="43"/>
      <c r="M85" s="13"/>
      <c r="N85" s="43">
        <f t="shared" ref="N85:N112" si="16">L85*M85</f>
        <v>0</v>
      </c>
    </row>
    <row r="86" spans="1:14" ht="20.100000000000001" customHeight="1" x14ac:dyDescent="0.4">
      <c r="A86" s="5"/>
      <c r="B86" s="43"/>
      <c r="C86" s="14"/>
      <c r="D86" s="43">
        <f t="shared" si="14"/>
        <v>0</v>
      </c>
      <c r="F86" s="5"/>
      <c r="G86" s="43"/>
      <c r="H86" s="13"/>
      <c r="I86" s="43">
        <f t="shared" si="15"/>
        <v>0</v>
      </c>
      <c r="K86" s="5"/>
      <c r="L86" s="43"/>
      <c r="M86" s="13"/>
      <c r="N86" s="43">
        <f t="shared" si="16"/>
        <v>0</v>
      </c>
    </row>
    <row r="87" spans="1:14" ht="20.100000000000001" customHeight="1" x14ac:dyDescent="0.4">
      <c r="A87" s="5"/>
      <c r="B87" s="43"/>
      <c r="C87" s="14"/>
      <c r="D87" s="43">
        <f t="shared" si="14"/>
        <v>0</v>
      </c>
      <c r="F87" s="5"/>
      <c r="G87" s="43"/>
      <c r="H87" s="13"/>
      <c r="I87" s="43">
        <f t="shared" si="15"/>
        <v>0</v>
      </c>
      <c r="K87" s="5"/>
      <c r="L87" s="43"/>
      <c r="M87" s="13"/>
      <c r="N87" s="43">
        <f t="shared" si="16"/>
        <v>0</v>
      </c>
    </row>
    <row r="88" spans="1:14" ht="20.100000000000001" customHeight="1" x14ac:dyDescent="0.4">
      <c r="A88" s="5"/>
      <c r="B88" s="43"/>
      <c r="C88" s="14"/>
      <c r="D88" s="43">
        <f t="shared" si="14"/>
        <v>0</v>
      </c>
      <c r="F88" s="5"/>
      <c r="G88" s="43"/>
      <c r="H88" s="13"/>
      <c r="I88" s="43">
        <f t="shared" si="15"/>
        <v>0</v>
      </c>
      <c r="K88" s="5"/>
      <c r="L88" s="43"/>
      <c r="M88" s="13"/>
      <c r="N88" s="43">
        <f t="shared" si="16"/>
        <v>0</v>
      </c>
    </row>
    <row r="89" spans="1:14" ht="20.100000000000001" customHeight="1" x14ac:dyDescent="0.4">
      <c r="A89" s="5"/>
      <c r="B89" s="43"/>
      <c r="C89" s="14"/>
      <c r="D89" s="43">
        <f t="shared" si="14"/>
        <v>0</v>
      </c>
      <c r="F89" s="5"/>
      <c r="G89" s="43"/>
      <c r="H89" s="13"/>
      <c r="I89" s="43">
        <f t="shared" si="15"/>
        <v>0</v>
      </c>
      <c r="K89" s="5"/>
      <c r="L89" s="43"/>
      <c r="M89" s="13"/>
      <c r="N89" s="43">
        <f t="shared" si="16"/>
        <v>0</v>
      </c>
    </row>
    <row r="90" spans="1:14" ht="20.100000000000001" customHeight="1" x14ac:dyDescent="0.4">
      <c r="A90" s="5"/>
      <c r="B90" s="43"/>
      <c r="C90" s="14"/>
      <c r="D90" s="43">
        <f t="shared" si="14"/>
        <v>0</v>
      </c>
      <c r="F90" s="5"/>
      <c r="G90" s="43"/>
      <c r="H90" s="13"/>
      <c r="I90" s="43">
        <f>G90*H90</f>
        <v>0</v>
      </c>
      <c r="K90" s="5"/>
      <c r="L90" s="43"/>
      <c r="M90" s="13"/>
      <c r="N90" s="43">
        <f t="shared" ref="N90:N96" si="17">L90*M90</f>
        <v>0</v>
      </c>
    </row>
    <row r="91" spans="1:14" ht="20.100000000000001" customHeight="1" x14ac:dyDescent="0.4">
      <c r="A91" s="5"/>
      <c r="B91" s="43"/>
      <c r="C91" s="14"/>
      <c r="D91" s="43">
        <f t="shared" si="14"/>
        <v>0</v>
      </c>
      <c r="F91" s="5"/>
      <c r="G91" s="43"/>
      <c r="H91" s="13"/>
      <c r="I91" s="43">
        <f>G91*H91</f>
        <v>0</v>
      </c>
      <c r="K91" s="5"/>
      <c r="L91" s="43"/>
      <c r="M91" s="13"/>
      <c r="N91" s="43">
        <f t="shared" si="17"/>
        <v>0</v>
      </c>
    </row>
    <row r="92" spans="1:14" ht="20.100000000000001" customHeight="1" x14ac:dyDescent="0.4">
      <c r="A92" s="5"/>
      <c r="B92" s="43"/>
      <c r="C92" s="14"/>
      <c r="D92" s="43">
        <f t="shared" si="14"/>
        <v>0</v>
      </c>
      <c r="F92" s="5"/>
      <c r="G92" s="43"/>
      <c r="H92" s="13"/>
      <c r="I92" s="43">
        <f>G92*H92</f>
        <v>0</v>
      </c>
      <c r="K92" s="5"/>
      <c r="L92" s="43"/>
      <c r="M92" s="13"/>
      <c r="N92" s="43">
        <f t="shared" si="17"/>
        <v>0</v>
      </c>
    </row>
    <row r="93" spans="1:14" ht="20.100000000000001" customHeight="1" x14ac:dyDescent="0.4">
      <c r="A93" s="5"/>
      <c r="B93" s="43"/>
      <c r="C93" s="14"/>
      <c r="D93" s="43">
        <f t="shared" si="14"/>
        <v>0</v>
      </c>
      <c r="F93" s="5"/>
      <c r="G93" s="43"/>
      <c r="H93" s="13"/>
      <c r="I93" s="43">
        <f t="shared" si="15"/>
        <v>0</v>
      </c>
      <c r="K93" s="5"/>
      <c r="L93" s="43"/>
      <c r="M93" s="13"/>
      <c r="N93" s="43">
        <f t="shared" si="17"/>
        <v>0</v>
      </c>
    </row>
    <row r="94" spans="1:14" ht="20.100000000000001" customHeight="1" x14ac:dyDescent="0.4">
      <c r="A94" s="5"/>
      <c r="B94" s="43"/>
      <c r="C94" s="14"/>
      <c r="D94" s="43">
        <f>B94*C94</f>
        <v>0</v>
      </c>
      <c r="F94" s="5"/>
      <c r="G94" s="43"/>
      <c r="H94" s="13"/>
      <c r="I94" s="43">
        <f t="shared" si="15"/>
        <v>0</v>
      </c>
      <c r="K94" s="5"/>
      <c r="L94" s="43"/>
      <c r="M94" s="13"/>
      <c r="N94" s="43">
        <f t="shared" si="17"/>
        <v>0</v>
      </c>
    </row>
    <row r="95" spans="1:14" ht="20.100000000000001" customHeight="1" x14ac:dyDescent="0.4">
      <c r="A95" s="5"/>
      <c r="B95" s="43"/>
      <c r="C95" s="14"/>
      <c r="D95" s="43">
        <f t="shared" si="14"/>
        <v>0</v>
      </c>
      <c r="F95" s="5"/>
      <c r="G95" s="43"/>
      <c r="H95" s="13"/>
      <c r="I95" s="43">
        <f t="shared" si="15"/>
        <v>0</v>
      </c>
      <c r="K95" s="5"/>
      <c r="L95" s="43"/>
      <c r="M95" s="13"/>
      <c r="N95" s="43">
        <f t="shared" si="17"/>
        <v>0</v>
      </c>
    </row>
    <row r="96" spans="1:14" ht="20.100000000000001" customHeight="1" x14ac:dyDescent="0.4">
      <c r="A96" s="5"/>
      <c r="B96" s="43"/>
      <c r="C96" s="14"/>
      <c r="D96" s="43">
        <f t="shared" si="14"/>
        <v>0</v>
      </c>
      <c r="F96" s="5"/>
      <c r="G96" s="43"/>
      <c r="H96" s="13"/>
      <c r="I96" s="43">
        <f t="shared" si="15"/>
        <v>0</v>
      </c>
      <c r="K96" s="5"/>
      <c r="L96" s="43"/>
      <c r="M96" s="13"/>
      <c r="N96" s="43">
        <f t="shared" si="17"/>
        <v>0</v>
      </c>
    </row>
    <row r="97" spans="1:14" ht="20.100000000000001" customHeight="1" x14ac:dyDescent="0.4">
      <c r="A97" s="5"/>
      <c r="B97" s="43"/>
      <c r="C97" s="14"/>
      <c r="D97" s="43">
        <f t="shared" ref="D97:D112" si="18">B97*C97</f>
        <v>0</v>
      </c>
      <c r="F97" s="5"/>
      <c r="G97" s="43"/>
      <c r="H97" s="13"/>
      <c r="I97" s="43">
        <f t="shared" si="15"/>
        <v>0</v>
      </c>
      <c r="K97" s="5"/>
      <c r="L97" s="43"/>
      <c r="M97" s="13"/>
      <c r="N97" s="43">
        <f t="shared" si="16"/>
        <v>0</v>
      </c>
    </row>
    <row r="98" spans="1:14" ht="20.100000000000001" customHeight="1" x14ac:dyDescent="0.4">
      <c r="A98" s="5"/>
      <c r="B98" s="43"/>
      <c r="C98" s="14"/>
      <c r="D98" s="43">
        <f t="shared" si="18"/>
        <v>0</v>
      </c>
      <c r="F98" s="5"/>
      <c r="G98" s="43"/>
      <c r="H98" s="13"/>
      <c r="I98" s="43">
        <f t="shared" si="15"/>
        <v>0</v>
      </c>
      <c r="K98" s="5"/>
      <c r="L98" s="43"/>
      <c r="M98" s="13"/>
      <c r="N98" s="43">
        <f t="shared" si="16"/>
        <v>0</v>
      </c>
    </row>
    <row r="99" spans="1:14" ht="20.100000000000001" customHeight="1" x14ac:dyDescent="0.4">
      <c r="A99" s="5"/>
      <c r="B99" s="43"/>
      <c r="C99" s="14"/>
      <c r="D99" s="43">
        <f t="shared" si="18"/>
        <v>0</v>
      </c>
      <c r="F99" s="5"/>
      <c r="G99" s="43"/>
      <c r="H99" s="13"/>
      <c r="I99" s="43">
        <f t="shared" si="15"/>
        <v>0</v>
      </c>
      <c r="K99" s="5"/>
      <c r="L99" s="43"/>
      <c r="M99" s="13"/>
      <c r="N99" s="43">
        <f t="shared" si="16"/>
        <v>0</v>
      </c>
    </row>
    <row r="100" spans="1:14" ht="20.100000000000001" customHeight="1" x14ac:dyDescent="0.4">
      <c r="A100" s="5"/>
      <c r="B100" s="43"/>
      <c r="C100" s="14"/>
      <c r="D100" s="43">
        <f t="shared" si="18"/>
        <v>0</v>
      </c>
      <c r="F100" s="5"/>
      <c r="G100" s="43"/>
      <c r="H100" s="13"/>
      <c r="I100" s="43">
        <f t="shared" si="15"/>
        <v>0</v>
      </c>
      <c r="K100" s="5"/>
      <c r="L100" s="43"/>
      <c r="M100" s="13"/>
      <c r="N100" s="43">
        <f t="shared" si="16"/>
        <v>0</v>
      </c>
    </row>
    <row r="101" spans="1:14" ht="20.100000000000001" customHeight="1" x14ac:dyDescent="0.4">
      <c r="A101" s="5"/>
      <c r="B101" s="43"/>
      <c r="C101" s="14"/>
      <c r="D101" s="43">
        <f t="shared" si="18"/>
        <v>0</v>
      </c>
      <c r="F101" s="5"/>
      <c r="G101" s="43"/>
      <c r="H101" s="13"/>
      <c r="I101" s="43">
        <f t="shared" si="15"/>
        <v>0</v>
      </c>
      <c r="K101" s="5"/>
      <c r="L101" s="43"/>
      <c r="M101" s="13"/>
      <c r="N101" s="43">
        <f t="shared" si="16"/>
        <v>0</v>
      </c>
    </row>
    <row r="102" spans="1:14" ht="20.100000000000001" customHeight="1" x14ac:dyDescent="0.4">
      <c r="A102" s="5"/>
      <c r="B102" s="43"/>
      <c r="C102" s="14"/>
      <c r="D102" s="43">
        <f t="shared" si="18"/>
        <v>0</v>
      </c>
      <c r="F102" s="5"/>
      <c r="G102" s="43"/>
      <c r="H102" s="13"/>
      <c r="I102" s="43">
        <f t="shared" si="15"/>
        <v>0</v>
      </c>
      <c r="K102" s="5"/>
      <c r="L102" s="43"/>
      <c r="M102" s="13"/>
      <c r="N102" s="43">
        <f t="shared" si="16"/>
        <v>0</v>
      </c>
    </row>
    <row r="103" spans="1:14" ht="20.100000000000001" customHeight="1" x14ac:dyDescent="0.4">
      <c r="A103" s="5"/>
      <c r="B103" s="43"/>
      <c r="C103" s="14"/>
      <c r="D103" s="43">
        <f t="shared" si="18"/>
        <v>0</v>
      </c>
      <c r="F103" s="5"/>
      <c r="G103" s="43"/>
      <c r="H103" s="13"/>
      <c r="I103" s="43">
        <f t="shared" si="15"/>
        <v>0</v>
      </c>
      <c r="K103" s="5"/>
      <c r="L103" s="43"/>
      <c r="M103" s="13"/>
      <c r="N103" s="43">
        <f t="shared" si="16"/>
        <v>0</v>
      </c>
    </row>
    <row r="104" spans="1:14" ht="20.100000000000001" customHeight="1" x14ac:dyDescent="0.4">
      <c r="A104" s="5"/>
      <c r="B104" s="43"/>
      <c r="C104" s="14"/>
      <c r="D104" s="43">
        <f t="shared" si="18"/>
        <v>0</v>
      </c>
      <c r="F104" s="5"/>
      <c r="G104" s="43"/>
      <c r="H104" s="13"/>
      <c r="I104" s="43">
        <f t="shared" si="15"/>
        <v>0</v>
      </c>
      <c r="K104" s="5"/>
      <c r="L104" s="43"/>
      <c r="M104" s="13"/>
      <c r="N104" s="43">
        <f t="shared" si="16"/>
        <v>0</v>
      </c>
    </row>
    <row r="105" spans="1:14" ht="20.100000000000001" customHeight="1" x14ac:dyDescent="0.4">
      <c r="A105" s="5"/>
      <c r="B105" s="43"/>
      <c r="C105" s="14"/>
      <c r="D105" s="43">
        <f t="shared" si="18"/>
        <v>0</v>
      </c>
      <c r="F105" s="5"/>
      <c r="G105" s="43"/>
      <c r="H105" s="13"/>
      <c r="I105" s="43">
        <f t="shared" si="15"/>
        <v>0</v>
      </c>
      <c r="K105" s="5"/>
      <c r="L105" s="43"/>
      <c r="M105" s="13"/>
      <c r="N105" s="43">
        <f t="shared" si="16"/>
        <v>0</v>
      </c>
    </row>
    <row r="106" spans="1:14" ht="20.100000000000001" customHeight="1" x14ac:dyDescent="0.4">
      <c r="A106" s="5"/>
      <c r="B106" s="43"/>
      <c r="C106" s="14"/>
      <c r="D106" s="43">
        <f t="shared" si="18"/>
        <v>0</v>
      </c>
      <c r="F106" s="5"/>
      <c r="G106" s="43"/>
      <c r="H106" s="13"/>
      <c r="I106" s="43">
        <f t="shared" si="15"/>
        <v>0</v>
      </c>
      <c r="K106" s="5"/>
      <c r="L106" s="43"/>
      <c r="M106" s="13"/>
      <c r="N106" s="43">
        <f t="shared" si="16"/>
        <v>0</v>
      </c>
    </row>
    <row r="107" spans="1:14" ht="20.100000000000001" customHeight="1" x14ac:dyDescent="0.4">
      <c r="A107" s="5"/>
      <c r="B107" s="43"/>
      <c r="C107" s="14"/>
      <c r="D107" s="43">
        <f t="shared" si="18"/>
        <v>0</v>
      </c>
      <c r="F107" s="5"/>
      <c r="G107" s="43"/>
      <c r="H107" s="13"/>
      <c r="I107" s="43">
        <f t="shared" si="15"/>
        <v>0</v>
      </c>
      <c r="K107" s="5"/>
      <c r="L107" s="43"/>
      <c r="M107" s="13"/>
      <c r="N107" s="43">
        <f t="shared" si="16"/>
        <v>0</v>
      </c>
    </row>
    <row r="108" spans="1:14" ht="20.100000000000001" customHeight="1" x14ac:dyDescent="0.4">
      <c r="A108" s="5"/>
      <c r="B108" s="43"/>
      <c r="C108" s="14"/>
      <c r="D108" s="43">
        <f t="shared" si="18"/>
        <v>0</v>
      </c>
      <c r="F108" s="5"/>
      <c r="G108" s="43"/>
      <c r="H108" s="13"/>
      <c r="I108" s="43">
        <f t="shared" si="15"/>
        <v>0</v>
      </c>
      <c r="K108" s="5"/>
      <c r="L108" s="43"/>
      <c r="M108" s="13"/>
      <c r="N108" s="43">
        <f t="shared" si="16"/>
        <v>0</v>
      </c>
    </row>
    <row r="109" spans="1:14" ht="20.100000000000001" customHeight="1" x14ac:dyDescent="0.4">
      <c r="A109" s="5"/>
      <c r="B109" s="43"/>
      <c r="C109" s="14"/>
      <c r="D109" s="43">
        <f t="shared" si="18"/>
        <v>0</v>
      </c>
      <c r="F109" s="5"/>
      <c r="G109" s="43"/>
      <c r="H109" s="13"/>
      <c r="I109" s="43">
        <f t="shared" si="15"/>
        <v>0</v>
      </c>
      <c r="K109" s="5"/>
      <c r="L109" s="43"/>
      <c r="M109" s="13"/>
      <c r="N109" s="43">
        <f t="shared" si="16"/>
        <v>0</v>
      </c>
    </row>
    <row r="110" spans="1:14" ht="20.100000000000001" customHeight="1" x14ac:dyDescent="0.4">
      <c r="A110" s="5"/>
      <c r="B110" s="43"/>
      <c r="C110" s="14"/>
      <c r="D110" s="43">
        <f t="shared" si="18"/>
        <v>0</v>
      </c>
      <c r="F110" s="5"/>
      <c r="G110" s="43"/>
      <c r="H110" s="13"/>
      <c r="I110" s="43">
        <f t="shared" si="15"/>
        <v>0</v>
      </c>
      <c r="K110" s="5"/>
      <c r="L110" s="43"/>
      <c r="M110" s="13"/>
      <c r="N110" s="43">
        <f t="shared" si="16"/>
        <v>0</v>
      </c>
    </row>
    <row r="111" spans="1:14" ht="20.100000000000001" customHeight="1" x14ac:dyDescent="0.4">
      <c r="A111" s="5"/>
      <c r="B111" s="43"/>
      <c r="C111" s="14"/>
      <c r="D111" s="43">
        <f t="shared" si="18"/>
        <v>0</v>
      </c>
      <c r="F111" s="5"/>
      <c r="G111" s="43"/>
      <c r="H111" s="13"/>
      <c r="I111" s="43">
        <f t="shared" si="15"/>
        <v>0</v>
      </c>
      <c r="K111" s="5"/>
      <c r="L111" s="43"/>
      <c r="M111" s="13"/>
      <c r="N111" s="43">
        <f t="shared" si="16"/>
        <v>0</v>
      </c>
    </row>
    <row r="112" spans="1:14" ht="20.100000000000001" customHeight="1" thickBot="1" x14ac:dyDescent="0.45">
      <c r="A112" s="15"/>
      <c r="B112" s="60"/>
      <c r="C112" s="36"/>
      <c r="D112" s="60">
        <f t="shared" si="18"/>
        <v>0</v>
      </c>
      <c r="F112" s="22"/>
      <c r="G112" s="65"/>
      <c r="H112" s="26"/>
      <c r="I112" s="60">
        <f t="shared" si="15"/>
        <v>0</v>
      </c>
      <c r="K112" s="22"/>
      <c r="L112" s="65"/>
      <c r="M112" s="26"/>
      <c r="N112" s="60">
        <f t="shared" si="16"/>
        <v>0</v>
      </c>
    </row>
    <row r="113" spans="1:14" ht="20.100000000000001" customHeight="1" thickBot="1" x14ac:dyDescent="0.45">
      <c r="A113" s="20" t="s">
        <v>11</v>
      </c>
      <c r="B113" s="4"/>
      <c r="C113" s="4"/>
      <c r="D113" s="64">
        <f>SUM(D83:D112)</f>
        <v>0</v>
      </c>
      <c r="F113" s="20" t="s">
        <v>11</v>
      </c>
      <c r="G113" s="4"/>
      <c r="H113" s="4"/>
      <c r="I113" s="64">
        <f>SUM(I83:I112)</f>
        <v>0</v>
      </c>
      <c r="K113" s="20" t="s">
        <v>11</v>
      </c>
      <c r="L113" s="4"/>
      <c r="M113" s="4"/>
      <c r="N113" s="64">
        <f>SUM(N83:N112)</f>
        <v>0</v>
      </c>
    </row>
    <row r="114" spans="1:14" ht="20.100000000000001" customHeight="1" x14ac:dyDescent="0.4">
      <c r="A114" s="50"/>
      <c r="B114" s="50"/>
      <c r="C114" s="50"/>
      <c r="D114" s="61"/>
      <c r="F114" s="50"/>
      <c r="G114" s="50"/>
      <c r="H114" s="50"/>
      <c r="I114" s="61"/>
      <c r="K114" s="50"/>
      <c r="L114" s="50"/>
      <c r="M114" s="50"/>
      <c r="N114" s="61"/>
    </row>
    <row r="115" spans="1:14" ht="20.100000000000001" customHeight="1" x14ac:dyDescent="0.4">
      <c r="A115" s="50"/>
      <c r="B115" s="50"/>
      <c r="C115" s="50"/>
      <c r="D115" s="61"/>
      <c r="F115" s="50"/>
      <c r="G115" s="50"/>
      <c r="H115" s="50"/>
      <c r="I115" s="61"/>
      <c r="K115" s="50"/>
      <c r="L115" s="50"/>
      <c r="M115" s="50"/>
      <c r="N115" s="61"/>
    </row>
    <row r="116" spans="1:14" ht="20.100000000000001" customHeight="1" thickBot="1" x14ac:dyDescent="0.45"/>
    <row r="117" spans="1:14" ht="20.100000000000001" customHeight="1" thickBot="1" x14ac:dyDescent="0.45">
      <c r="A117" s="71">
        <f>B6</f>
        <v>0</v>
      </c>
      <c r="B117" s="72"/>
      <c r="C117" s="72"/>
      <c r="D117" s="73"/>
      <c r="F117" s="71">
        <f>B7</f>
        <v>0</v>
      </c>
      <c r="G117" s="72"/>
      <c r="H117" s="72"/>
      <c r="I117" s="73"/>
      <c r="K117" s="71">
        <f>B8</f>
        <v>0</v>
      </c>
      <c r="L117" s="72"/>
      <c r="M117" s="72"/>
      <c r="N117" s="73"/>
    </row>
    <row r="118" spans="1:14" ht="20.100000000000001" customHeight="1" thickBot="1" x14ac:dyDescent="0.45">
      <c r="A118" s="21" t="s">
        <v>16</v>
      </c>
      <c r="B118" s="20" t="s">
        <v>20</v>
      </c>
      <c r="C118" s="24" t="s">
        <v>17</v>
      </c>
      <c r="D118" s="20" t="s">
        <v>11</v>
      </c>
      <c r="F118" s="21" t="s">
        <v>16</v>
      </c>
      <c r="G118" s="20" t="s">
        <v>20</v>
      </c>
      <c r="H118" s="24" t="s">
        <v>17</v>
      </c>
      <c r="I118" s="20" t="s">
        <v>11</v>
      </c>
      <c r="K118" s="21" t="s">
        <v>16</v>
      </c>
      <c r="L118" s="20" t="s">
        <v>20</v>
      </c>
      <c r="M118" s="24" t="s">
        <v>17</v>
      </c>
      <c r="N118" s="20" t="s">
        <v>11</v>
      </c>
    </row>
    <row r="119" spans="1:14" ht="20.100000000000001" customHeight="1" x14ac:dyDescent="0.4">
      <c r="A119" s="11"/>
      <c r="B119" s="57"/>
      <c r="C119" s="11"/>
      <c r="D119" s="59">
        <f>B119*C119</f>
        <v>0</v>
      </c>
      <c r="F119" s="12"/>
      <c r="G119" s="41"/>
      <c r="H119" s="25"/>
      <c r="I119" s="41">
        <f>G119*H119</f>
        <v>0</v>
      </c>
      <c r="K119" s="12"/>
      <c r="L119" s="41"/>
      <c r="M119" s="25"/>
      <c r="N119" s="41">
        <f>L119*M119</f>
        <v>0</v>
      </c>
    </row>
    <row r="120" spans="1:14" ht="20.100000000000001" customHeight="1" x14ac:dyDescent="0.4">
      <c r="A120" s="2"/>
      <c r="B120" s="56"/>
      <c r="C120" s="2"/>
      <c r="D120" s="44">
        <f>B120*C120</f>
        <v>0</v>
      </c>
      <c r="F120" s="5"/>
      <c r="G120" s="43"/>
      <c r="H120" s="13"/>
      <c r="I120" s="43">
        <f>G120*H120</f>
        <v>0</v>
      </c>
      <c r="K120" s="5"/>
      <c r="L120" s="43"/>
      <c r="M120" s="13"/>
      <c r="N120" s="43">
        <f>L120*M120</f>
        <v>0</v>
      </c>
    </row>
    <row r="121" spans="1:14" ht="20.100000000000001" customHeight="1" x14ac:dyDescent="0.4">
      <c r="A121" s="2"/>
      <c r="B121" s="56"/>
      <c r="C121" s="2"/>
      <c r="D121" s="44"/>
      <c r="F121" s="5"/>
      <c r="G121" s="43"/>
      <c r="H121" s="13"/>
      <c r="I121" s="43">
        <f t="shared" ref="I121:I148" si="19">G121*H121</f>
        <v>0</v>
      </c>
      <c r="K121" s="5"/>
      <c r="L121" s="43"/>
      <c r="M121" s="13"/>
      <c r="N121" s="43">
        <f t="shared" ref="N121:N148" si="20">L121*M121</f>
        <v>0</v>
      </c>
    </row>
    <row r="122" spans="1:14" ht="20.100000000000001" customHeight="1" x14ac:dyDescent="0.4">
      <c r="A122" s="2"/>
      <c r="B122" s="56"/>
      <c r="C122" s="2"/>
      <c r="D122" s="44"/>
      <c r="F122" s="5"/>
      <c r="G122" s="43"/>
      <c r="H122" s="13"/>
      <c r="I122" s="43">
        <f t="shared" si="19"/>
        <v>0</v>
      </c>
      <c r="K122" s="5"/>
      <c r="L122" s="43"/>
      <c r="M122" s="13"/>
      <c r="N122" s="43">
        <f t="shared" si="20"/>
        <v>0</v>
      </c>
    </row>
    <row r="123" spans="1:14" ht="20.100000000000001" customHeight="1" x14ac:dyDescent="0.4">
      <c r="A123" s="2"/>
      <c r="B123" s="56"/>
      <c r="C123" s="2"/>
      <c r="D123" s="44">
        <f t="shared" ref="D123:D148" si="21">B123*C123</f>
        <v>0</v>
      </c>
      <c r="F123" s="5"/>
      <c r="G123" s="43"/>
      <c r="H123" s="13"/>
      <c r="I123" s="43">
        <f t="shared" si="19"/>
        <v>0</v>
      </c>
      <c r="K123" s="5"/>
      <c r="L123" s="43"/>
      <c r="M123" s="13"/>
      <c r="N123" s="43">
        <f t="shared" si="20"/>
        <v>0</v>
      </c>
    </row>
    <row r="124" spans="1:14" ht="20.100000000000001" customHeight="1" x14ac:dyDescent="0.4">
      <c r="A124" s="2"/>
      <c r="B124" s="56"/>
      <c r="C124" s="2"/>
      <c r="D124" s="44">
        <f t="shared" si="21"/>
        <v>0</v>
      </c>
      <c r="F124" s="5"/>
      <c r="G124" s="43"/>
      <c r="H124" s="13"/>
      <c r="I124" s="43">
        <f t="shared" si="19"/>
        <v>0</v>
      </c>
      <c r="K124" s="5"/>
      <c r="L124" s="43"/>
      <c r="M124" s="13"/>
      <c r="N124" s="43">
        <f t="shared" si="20"/>
        <v>0</v>
      </c>
    </row>
    <row r="125" spans="1:14" ht="20.100000000000001" customHeight="1" x14ac:dyDescent="0.4">
      <c r="A125" s="2"/>
      <c r="B125" s="56"/>
      <c r="C125" s="2"/>
      <c r="D125" s="44">
        <f t="shared" si="21"/>
        <v>0</v>
      </c>
      <c r="F125" s="5"/>
      <c r="G125" s="43"/>
      <c r="H125" s="13"/>
      <c r="I125" s="43">
        <f t="shared" si="19"/>
        <v>0</v>
      </c>
      <c r="K125" s="5"/>
      <c r="L125" s="43"/>
      <c r="M125" s="13"/>
      <c r="N125" s="43">
        <f t="shared" si="20"/>
        <v>0</v>
      </c>
    </row>
    <row r="126" spans="1:14" ht="20.100000000000001" customHeight="1" x14ac:dyDescent="0.4">
      <c r="A126" s="2"/>
      <c r="B126" s="56"/>
      <c r="C126" s="2"/>
      <c r="D126" s="44">
        <f t="shared" si="21"/>
        <v>0</v>
      </c>
      <c r="F126" s="5"/>
      <c r="G126" s="43"/>
      <c r="H126" s="13"/>
      <c r="I126" s="43">
        <f t="shared" si="19"/>
        <v>0</v>
      </c>
      <c r="K126" s="5"/>
      <c r="L126" s="43"/>
      <c r="M126" s="13"/>
      <c r="N126" s="43">
        <f t="shared" si="20"/>
        <v>0</v>
      </c>
    </row>
    <row r="127" spans="1:14" ht="20.100000000000001" customHeight="1" x14ac:dyDescent="0.4">
      <c r="A127" s="2"/>
      <c r="B127" s="56"/>
      <c r="C127" s="2"/>
      <c r="D127" s="44">
        <f t="shared" si="21"/>
        <v>0</v>
      </c>
      <c r="F127" s="5"/>
      <c r="G127" s="43"/>
      <c r="H127" s="13"/>
      <c r="I127" s="43">
        <f t="shared" si="19"/>
        <v>0</v>
      </c>
      <c r="K127" s="5"/>
      <c r="L127" s="43"/>
      <c r="M127" s="13"/>
      <c r="N127" s="43">
        <f t="shared" si="20"/>
        <v>0</v>
      </c>
    </row>
    <row r="128" spans="1:14" ht="20.100000000000001" customHeight="1" x14ac:dyDescent="0.4">
      <c r="A128" s="2"/>
      <c r="B128" s="56"/>
      <c r="C128" s="2"/>
      <c r="D128" s="44">
        <f t="shared" si="21"/>
        <v>0</v>
      </c>
      <c r="F128" s="5"/>
      <c r="G128" s="43"/>
      <c r="H128" s="13"/>
      <c r="I128" s="43">
        <f t="shared" si="19"/>
        <v>0</v>
      </c>
      <c r="K128" s="5"/>
      <c r="L128" s="43"/>
      <c r="M128" s="13"/>
      <c r="N128" s="43">
        <f t="shared" si="20"/>
        <v>0</v>
      </c>
    </row>
    <row r="129" spans="1:14" ht="20.100000000000001" customHeight="1" x14ac:dyDescent="0.4">
      <c r="A129" s="2"/>
      <c r="B129" s="56"/>
      <c r="C129" s="2"/>
      <c r="D129" s="44">
        <f t="shared" si="21"/>
        <v>0</v>
      </c>
      <c r="F129" s="5"/>
      <c r="G129" s="43"/>
      <c r="H129" s="13"/>
      <c r="I129" s="43">
        <f t="shared" si="19"/>
        <v>0</v>
      </c>
      <c r="K129" s="5"/>
      <c r="L129" s="43"/>
      <c r="M129" s="13"/>
      <c r="N129" s="43">
        <f t="shared" si="20"/>
        <v>0</v>
      </c>
    </row>
    <row r="130" spans="1:14" ht="20.100000000000001" customHeight="1" x14ac:dyDescent="0.4">
      <c r="A130" s="2"/>
      <c r="B130" s="56"/>
      <c r="C130" s="2"/>
      <c r="D130" s="44">
        <f t="shared" si="21"/>
        <v>0</v>
      </c>
      <c r="F130" s="5"/>
      <c r="G130" s="43"/>
      <c r="H130" s="13"/>
      <c r="I130" s="43">
        <f t="shared" si="19"/>
        <v>0</v>
      </c>
      <c r="K130" s="5"/>
      <c r="L130" s="43"/>
      <c r="M130" s="13"/>
      <c r="N130" s="43">
        <f t="shared" si="20"/>
        <v>0</v>
      </c>
    </row>
    <row r="131" spans="1:14" ht="20.100000000000001" customHeight="1" x14ac:dyDescent="0.4">
      <c r="A131" s="2"/>
      <c r="B131" s="56"/>
      <c r="C131" s="2"/>
      <c r="D131" s="44">
        <f t="shared" si="21"/>
        <v>0</v>
      </c>
      <c r="F131" s="5"/>
      <c r="G131" s="43"/>
      <c r="H131" s="13"/>
      <c r="I131" s="43">
        <f t="shared" si="19"/>
        <v>0</v>
      </c>
      <c r="K131" s="5"/>
      <c r="L131" s="43"/>
      <c r="M131" s="13"/>
      <c r="N131" s="43">
        <f t="shared" si="20"/>
        <v>0</v>
      </c>
    </row>
    <row r="132" spans="1:14" ht="20.100000000000001" customHeight="1" x14ac:dyDescent="0.4">
      <c r="A132" s="2"/>
      <c r="B132" s="56"/>
      <c r="C132" s="2"/>
      <c r="D132" s="44">
        <f t="shared" si="21"/>
        <v>0</v>
      </c>
      <c r="F132" s="5"/>
      <c r="G132" s="43"/>
      <c r="H132" s="13"/>
      <c r="I132" s="43">
        <f t="shared" si="19"/>
        <v>0</v>
      </c>
      <c r="K132" s="5"/>
      <c r="L132" s="43"/>
      <c r="M132" s="13"/>
      <c r="N132" s="43">
        <f t="shared" si="20"/>
        <v>0</v>
      </c>
    </row>
    <row r="133" spans="1:14" ht="20.100000000000001" customHeight="1" x14ac:dyDescent="0.4">
      <c r="A133" s="2"/>
      <c r="B133" s="56"/>
      <c r="C133" s="2"/>
      <c r="D133" s="44">
        <f t="shared" si="21"/>
        <v>0</v>
      </c>
      <c r="F133" s="5"/>
      <c r="G133" s="43"/>
      <c r="H133" s="13"/>
      <c r="I133" s="43">
        <f t="shared" si="19"/>
        <v>0</v>
      </c>
      <c r="K133" s="5"/>
      <c r="L133" s="43"/>
      <c r="M133" s="13"/>
      <c r="N133" s="43">
        <f t="shared" si="20"/>
        <v>0</v>
      </c>
    </row>
    <row r="134" spans="1:14" ht="20.100000000000001" customHeight="1" x14ac:dyDescent="0.4">
      <c r="A134" s="2"/>
      <c r="B134" s="56"/>
      <c r="C134" s="2"/>
      <c r="D134" s="44">
        <f t="shared" si="21"/>
        <v>0</v>
      </c>
      <c r="F134" s="5"/>
      <c r="G134" s="43"/>
      <c r="H134" s="13"/>
      <c r="I134" s="43">
        <f t="shared" si="19"/>
        <v>0</v>
      </c>
      <c r="K134" s="5"/>
      <c r="L134" s="43"/>
      <c r="M134" s="13"/>
      <c r="N134" s="43">
        <f t="shared" si="20"/>
        <v>0</v>
      </c>
    </row>
    <row r="135" spans="1:14" ht="20.100000000000001" customHeight="1" x14ac:dyDescent="0.4">
      <c r="A135" s="2"/>
      <c r="B135" s="56"/>
      <c r="C135" s="2"/>
      <c r="D135" s="44">
        <f t="shared" si="21"/>
        <v>0</v>
      </c>
      <c r="F135" s="5"/>
      <c r="G135" s="43"/>
      <c r="H135" s="13"/>
      <c r="I135" s="43">
        <f t="shared" si="19"/>
        <v>0</v>
      </c>
      <c r="K135" s="5"/>
      <c r="L135" s="43"/>
      <c r="M135" s="13"/>
      <c r="N135" s="43">
        <f t="shared" si="20"/>
        <v>0</v>
      </c>
    </row>
    <row r="136" spans="1:14" ht="20.100000000000001" customHeight="1" x14ac:dyDescent="0.4">
      <c r="A136" s="2"/>
      <c r="B136" s="56"/>
      <c r="C136" s="2"/>
      <c r="D136" s="44">
        <f t="shared" si="21"/>
        <v>0</v>
      </c>
      <c r="F136" s="5"/>
      <c r="G136" s="43"/>
      <c r="H136" s="13"/>
      <c r="I136" s="43">
        <f t="shared" si="19"/>
        <v>0</v>
      </c>
      <c r="K136" s="5"/>
      <c r="L136" s="43"/>
      <c r="M136" s="13"/>
      <c r="N136" s="43">
        <f t="shared" si="20"/>
        <v>0</v>
      </c>
    </row>
    <row r="137" spans="1:14" ht="20.100000000000001" customHeight="1" x14ac:dyDescent="0.4">
      <c r="A137" s="2"/>
      <c r="B137" s="56"/>
      <c r="C137" s="2"/>
      <c r="D137" s="44">
        <f t="shared" si="21"/>
        <v>0</v>
      </c>
      <c r="F137" s="5"/>
      <c r="G137" s="43"/>
      <c r="H137" s="13"/>
      <c r="I137" s="43">
        <f t="shared" si="19"/>
        <v>0</v>
      </c>
      <c r="K137" s="5"/>
      <c r="L137" s="43"/>
      <c r="M137" s="13"/>
      <c r="N137" s="43">
        <f t="shared" si="20"/>
        <v>0</v>
      </c>
    </row>
    <row r="138" spans="1:14" ht="20.100000000000001" customHeight="1" x14ac:dyDescent="0.4">
      <c r="A138" s="2"/>
      <c r="B138" s="56"/>
      <c r="C138" s="2"/>
      <c r="D138" s="44">
        <f t="shared" si="21"/>
        <v>0</v>
      </c>
      <c r="F138" s="5"/>
      <c r="G138" s="43"/>
      <c r="H138" s="13"/>
      <c r="I138" s="43">
        <f t="shared" si="19"/>
        <v>0</v>
      </c>
      <c r="K138" s="5"/>
      <c r="L138" s="43"/>
      <c r="M138" s="13"/>
      <c r="N138" s="43">
        <f t="shared" si="20"/>
        <v>0</v>
      </c>
    </row>
    <row r="139" spans="1:14" ht="20.100000000000001" customHeight="1" x14ac:dyDescent="0.4">
      <c r="A139" s="2"/>
      <c r="B139" s="56"/>
      <c r="C139" s="2"/>
      <c r="D139" s="44">
        <f t="shared" si="21"/>
        <v>0</v>
      </c>
      <c r="F139" s="5"/>
      <c r="G139" s="43"/>
      <c r="H139" s="13"/>
      <c r="I139" s="43">
        <f t="shared" si="19"/>
        <v>0</v>
      </c>
      <c r="K139" s="5"/>
      <c r="L139" s="43"/>
      <c r="M139" s="13"/>
      <c r="N139" s="43">
        <f t="shared" si="20"/>
        <v>0</v>
      </c>
    </row>
    <row r="140" spans="1:14" ht="20.100000000000001" customHeight="1" x14ac:dyDescent="0.4">
      <c r="A140" s="2"/>
      <c r="B140" s="56"/>
      <c r="C140" s="2"/>
      <c r="D140" s="44">
        <f t="shared" si="21"/>
        <v>0</v>
      </c>
      <c r="F140" s="5"/>
      <c r="G140" s="43"/>
      <c r="H140" s="13"/>
      <c r="I140" s="43">
        <f t="shared" si="19"/>
        <v>0</v>
      </c>
      <c r="K140" s="5"/>
      <c r="L140" s="43"/>
      <c r="M140" s="13"/>
      <c r="N140" s="43">
        <f t="shared" si="20"/>
        <v>0</v>
      </c>
    </row>
    <row r="141" spans="1:14" ht="20.100000000000001" customHeight="1" x14ac:dyDescent="0.4">
      <c r="A141" s="2"/>
      <c r="B141" s="56"/>
      <c r="C141" s="2"/>
      <c r="D141" s="44">
        <f t="shared" si="21"/>
        <v>0</v>
      </c>
      <c r="F141" s="5"/>
      <c r="G141" s="43"/>
      <c r="H141" s="13"/>
      <c r="I141" s="43">
        <f t="shared" si="19"/>
        <v>0</v>
      </c>
      <c r="K141" s="5"/>
      <c r="L141" s="43"/>
      <c r="M141" s="13"/>
      <c r="N141" s="43">
        <f t="shared" si="20"/>
        <v>0</v>
      </c>
    </row>
    <row r="142" spans="1:14" ht="20.100000000000001" customHeight="1" x14ac:dyDescent="0.4">
      <c r="A142" s="2"/>
      <c r="B142" s="56"/>
      <c r="C142" s="2"/>
      <c r="D142" s="44">
        <f t="shared" si="21"/>
        <v>0</v>
      </c>
      <c r="F142" s="5"/>
      <c r="G142" s="43"/>
      <c r="H142" s="13"/>
      <c r="I142" s="43">
        <f t="shared" si="19"/>
        <v>0</v>
      </c>
      <c r="K142" s="5"/>
      <c r="L142" s="43"/>
      <c r="M142" s="13"/>
      <c r="N142" s="43">
        <f t="shared" si="20"/>
        <v>0</v>
      </c>
    </row>
    <row r="143" spans="1:14" ht="20.100000000000001" customHeight="1" x14ac:dyDescent="0.4">
      <c r="A143" s="2"/>
      <c r="B143" s="56"/>
      <c r="C143" s="2"/>
      <c r="D143" s="44">
        <f t="shared" si="21"/>
        <v>0</v>
      </c>
      <c r="F143" s="5"/>
      <c r="G143" s="43"/>
      <c r="H143" s="13"/>
      <c r="I143" s="43">
        <f t="shared" si="19"/>
        <v>0</v>
      </c>
      <c r="K143" s="5"/>
      <c r="L143" s="43"/>
      <c r="M143" s="13"/>
      <c r="N143" s="43">
        <f t="shared" si="20"/>
        <v>0</v>
      </c>
    </row>
    <row r="144" spans="1:14" ht="20.100000000000001" customHeight="1" x14ac:dyDescent="0.4">
      <c r="A144" s="2"/>
      <c r="B144" s="56"/>
      <c r="C144" s="2"/>
      <c r="D144" s="44">
        <f t="shared" si="21"/>
        <v>0</v>
      </c>
      <c r="F144" s="5"/>
      <c r="G144" s="43"/>
      <c r="H144" s="13"/>
      <c r="I144" s="43">
        <f t="shared" si="19"/>
        <v>0</v>
      </c>
      <c r="K144" s="5"/>
      <c r="L144" s="43"/>
      <c r="M144" s="13"/>
      <c r="N144" s="43">
        <f t="shared" si="20"/>
        <v>0</v>
      </c>
    </row>
    <row r="145" spans="1:14" ht="20.100000000000001" customHeight="1" x14ac:dyDescent="0.4">
      <c r="A145" s="2"/>
      <c r="B145" s="56"/>
      <c r="C145" s="2"/>
      <c r="D145" s="44">
        <f t="shared" si="21"/>
        <v>0</v>
      </c>
      <c r="F145" s="5"/>
      <c r="G145" s="43"/>
      <c r="H145" s="13"/>
      <c r="I145" s="43">
        <f t="shared" si="19"/>
        <v>0</v>
      </c>
      <c r="K145" s="5"/>
      <c r="L145" s="43"/>
      <c r="M145" s="13"/>
      <c r="N145" s="43">
        <f t="shared" si="20"/>
        <v>0</v>
      </c>
    </row>
    <row r="146" spans="1:14" ht="20.100000000000001" customHeight="1" x14ac:dyDescent="0.4">
      <c r="A146" s="2"/>
      <c r="B146" s="56"/>
      <c r="C146" s="2"/>
      <c r="D146" s="44">
        <f>B146*C146</f>
        <v>0</v>
      </c>
      <c r="F146" s="5"/>
      <c r="G146" s="43"/>
      <c r="H146" s="13"/>
      <c r="I146" s="43">
        <f t="shared" si="19"/>
        <v>0</v>
      </c>
      <c r="K146" s="5"/>
      <c r="L146" s="43"/>
      <c r="M146" s="13"/>
      <c r="N146" s="43">
        <f t="shared" si="20"/>
        <v>0</v>
      </c>
    </row>
    <row r="147" spans="1:14" ht="20.100000000000001" customHeight="1" x14ac:dyDescent="0.4">
      <c r="A147" s="2"/>
      <c r="B147" s="56"/>
      <c r="C147" s="2"/>
      <c r="D147" s="44">
        <f>B147*C147</f>
        <v>0</v>
      </c>
      <c r="F147" s="5"/>
      <c r="G147" s="43"/>
      <c r="H147" s="13"/>
      <c r="I147" s="43">
        <f t="shared" si="19"/>
        <v>0</v>
      </c>
      <c r="K147" s="5"/>
      <c r="L147" s="43"/>
      <c r="M147" s="13"/>
      <c r="N147" s="43">
        <f t="shared" si="20"/>
        <v>0</v>
      </c>
    </row>
    <row r="148" spans="1:14" ht="20.100000000000001" customHeight="1" thickBot="1" x14ac:dyDescent="0.45">
      <c r="A148" s="3"/>
      <c r="B148" s="66"/>
      <c r="C148" s="3"/>
      <c r="D148" s="44">
        <f t="shared" si="21"/>
        <v>0</v>
      </c>
      <c r="F148" s="22"/>
      <c r="G148" s="65"/>
      <c r="H148" s="26"/>
      <c r="I148" s="60">
        <f t="shared" si="19"/>
        <v>0</v>
      </c>
      <c r="K148" s="22"/>
      <c r="L148" s="65"/>
      <c r="M148" s="26"/>
      <c r="N148" s="60">
        <f t="shared" si="20"/>
        <v>0</v>
      </c>
    </row>
    <row r="149" spans="1:14" ht="20.100000000000001" customHeight="1" thickBot="1" x14ac:dyDescent="0.45">
      <c r="A149" s="20" t="s">
        <v>11</v>
      </c>
      <c r="B149" s="4"/>
      <c r="C149" s="4"/>
      <c r="D149" s="64">
        <f>SUM(D119:D148)</f>
        <v>0</v>
      </c>
      <c r="F149" s="20" t="s">
        <v>11</v>
      </c>
      <c r="G149" s="4"/>
      <c r="H149" s="4"/>
      <c r="I149" s="64">
        <f>SUM(I119:I148)</f>
        <v>0</v>
      </c>
      <c r="K149" s="20" t="s">
        <v>11</v>
      </c>
      <c r="L149" s="4"/>
      <c r="M149" s="4"/>
      <c r="N149" s="64">
        <f>SUM(N119:N148)</f>
        <v>0</v>
      </c>
    </row>
    <row r="150" spans="1:14" ht="20.100000000000001" customHeight="1" x14ac:dyDescent="0.4"/>
    <row r="151" spans="1:14" ht="20.100000000000001" customHeight="1" x14ac:dyDescent="0.4"/>
    <row r="152" spans="1:14" ht="20.100000000000001" customHeight="1" x14ac:dyDescent="0.4"/>
    <row r="153" spans="1:14" ht="20.100000000000001" customHeight="1" x14ac:dyDescent="0.4"/>
    <row r="154" spans="1:14" ht="20.100000000000001" customHeight="1" x14ac:dyDescent="0.4"/>
  </sheetData>
  <mergeCells count="12">
    <mergeCell ref="K117:N117"/>
    <mergeCell ref="F117:I117"/>
    <mergeCell ref="A117:D117"/>
    <mergeCell ref="A12:G12"/>
    <mergeCell ref="I12:O12"/>
    <mergeCell ref="A35:G35"/>
    <mergeCell ref="I35:O35"/>
    <mergeCell ref="A58:G58"/>
    <mergeCell ref="I58:O58"/>
    <mergeCell ref="A81:D81"/>
    <mergeCell ref="F81:I81"/>
    <mergeCell ref="K81:N81"/>
  </mergeCells>
  <phoneticPr fontId="1"/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rowBreaks count="5" manualBreakCount="5">
    <brk id="34" max="14" man="1"/>
    <brk id="80" max="14" man="1"/>
    <brk id="116" max="14" man="1"/>
    <brk id="152" max="14" man="1"/>
    <brk id="154" max="16383" man="1"/>
  </rowBreaks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0C39-5D09-4A4E-AAC4-85B14C085CC5}">
  <dimension ref="B1:C20"/>
  <sheetViews>
    <sheetView tabSelected="1" workbookViewId="0">
      <selection activeCell="G14" sqref="G14"/>
    </sheetView>
  </sheetViews>
  <sheetFormatPr defaultRowHeight="18.75" x14ac:dyDescent="0.4"/>
  <cols>
    <col min="2" max="2" width="19.25" bestFit="1" customWidth="1"/>
    <col min="3" max="3" width="13.625" bestFit="1" customWidth="1"/>
  </cols>
  <sheetData>
    <row r="1" spans="2:3" ht="19.5" thickBot="1" x14ac:dyDescent="0.45"/>
    <row r="2" spans="2:3" ht="19.5" thickBot="1" x14ac:dyDescent="0.45">
      <c r="B2" s="20" t="s">
        <v>33</v>
      </c>
      <c r="C2" s="24" t="s">
        <v>15</v>
      </c>
    </row>
    <row r="3" spans="2:3" x14ac:dyDescent="0.4">
      <c r="B3" s="1" t="s">
        <v>34</v>
      </c>
      <c r="C3" s="25">
        <v>9.4</v>
      </c>
    </row>
    <row r="4" spans="2:3" x14ac:dyDescent="0.4">
      <c r="B4" s="2" t="s">
        <v>35</v>
      </c>
      <c r="C4" s="13">
        <v>12.5</v>
      </c>
    </row>
    <row r="5" spans="2:3" x14ac:dyDescent="0.4">
      <c r="B5" s="2" t="s">
        <v>36</v>
      </c>
      <c r="C5" s="13">
        <v>18</v>
      </c>
    </row>
    <row r="6" spans="2:3" x14ac:dyDescent="0.4">
      <c r="B6" s="2" t="s">
        <v>37</v>
      </c>
      <c r="C6" s="13">
        <v>25.13</v>
      </c>
    </row>
    <row r="7" spans="2:3" ht="19.5" thickBot="1" x14ac:dyDescent="0.45">
      <c r="B7" s="16" t="s">
        <v>38</v>
      </c>
      <c r="C7" s="74">
        <v>47.1</v>
      </c>
    </row>
    <row r="8" spans="2:3" ht="19.5" thickBot="1" x14ac:dyDescent="0.45">
      <c r="B8" s="20" t="s">
        <v>39</v>
      </c>
      <c r="C8" s="24" t="s">
        <v>15</v>
      </c>
    </row>
    <row r="9" spans="2:3" x14ac:dyDescent="0.4">
      <c r="B9" s="1" t="s">
        <v>40</v>
      </c>
      <c r="C9" s="25">
        <v>12</v>
      </c>
    </row>
    <row r="10" spans="2:3" ht="19.5" thickBot="1" x14ac:dyDescent="0.45">
      <c r="B10" s="16" t="s">
        <v>41</v>
      </c>
      <c r="C10" s="74">
        <v>16</v>
      </c>
    </row>
    <row r="11" spans="2:3" ht="19.5" thickBot="1" x14ac:dyDescent="0.45">
      <c r="B11" s="20" t="s">
        <v>42</v>
      </c>
      <c r="C11" s="24" t="s">
        <v>44</v>
      </c>
    </row>
    <row r="12" spans="2:3" ht="19.5" thickBot="1" x14ac:dyDescent="0.45">
      <c r="B12" s="9" t="s">
        <v>43</v>
      </c>
      <c r="C12" s="75">
        <v>9.3000000000000007</v>
      </c>
    </row>
    <row r="13" spans="2:3" ht="19.5" thickBot="1" x14ac:dyDescent="0.45">
      <c r="B13" s="20" t="s">
        <v>45</v>
      </c>
      <c r="C13" s="24" t="s">
        <v>44</v>
      </c>
    </row>
    <row r="14" spans="2:3" x14ac:dyDescent="0.4">
      <c r="B14" s="1" t="s">
        <v>52</v>
      </c>
      <c r="C14" s="25">
        <v>6.85</v>
      </c>
    </row>
    <row r="15" spans="2:3" x14ac:dyDescent="0.4">
      <c r="B15" s="2" t="s">
        <v>46</v>
      </c>
      <c r="C15" s="13">
        <v>4.43</v>
      </c>
    </row>
    <row r="16" spans="2:3" ht="19.5" thickBot="1" x14ac:dyDescent="0.45">
      <c r="B16" s="16" t="s">
        <v>47</v>
      </c>
      <c r="C16" s="74">
        <v>2.95</v>
      </c>
    </row>
    <row r="17" spans="2:3" ht="19.5" thickBot="1" x14ac:dyDescent="0.45">
      <c r="B17" s="20" t="s">
        <v>48</v>
      </c>
      <c r="C17" s="24" t="s">
        <v>44</v>
      </c>
    </row>
    <row r="18" spans="2:3" ht="19.5" thickBot="1" x14ac:dyDescent="0.45">
      <c r="B18" s="9" t="s">
        <v>49</v>
      </c>
      <c r="C18" s="75">
        <v>31</v>
      </c>
    </row>
    <row r="19" spans="2:3" ht="19.5" thickBot="1" x14ac:dyDescent="0.45">
      <c r="B19" s="20" t="s">
        <v>50</v>
      </c>
      <c r="C19" s="24"/>
    </row>
    <row r="20" spans="2:3" ht="19.5" thickBot="1" x14ac:dyDescent="0.45">
      <c r="B20" s="10" t="s">
        <v>51</v>
      </c>
      <c r="C20" s="76">
        <v>1.79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60D54-7622-41E5-AA57-38949025F9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青木</dc:creator>
  <cp:lastModifiedBy>青木</cp:lastModifiedBy>
  <cp:lastPrinted>2022-09-26T07:58:43Z</cp:lastPrinted>
  <dcterms:created xsi:type="dcterms:W3CDTF">2022-09-21T07:46:47Z</dcterms:created>
  <dcterms:modified xsi:type="dcterms:W3CDTF">2022-09-27T02:18:57Z</dcterms:modified>
</cp:coreProperties>
</file>